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nce\Downloads\"/>
    </mc:Choice>
  </mc:AlternateContent>
  <xr:revisionPtr revIDLastSave="0" documentId="13_ncr:1_{55EE9EC8-656B-48F6-8F99-862F9F4E9E8B}" xr6:coauthVersionLast="36" xr6:coauthVersionMax="36" xr10:uidLastSave="{00000000-0000-0000-0000-000000000000}"/>
  <bookViews>
    <workbookView xWindow="0" yWindow="0" windowWidth="28800" windowHeight="12810" activeTab="6" xr2:uid="{00000000-000D-0000-FFFF-FFFF00000000}"/>
  </bookViews>
  <sheets>
    <sheet name="Layer 1" sheetId="2" r:id="rId1"/>
    <sheet name="Layer 3" sheetId="3" r:id="rId2"/>
    <sheet name="Layer 4" sheetId="5" r:id="rId3"/>
    <sheet name="Layer 1-F" sheetId="6" r:id="rId4"/>
    <sheet name="Layer 3-F" sheetId="7" r:id="rId5"/>
    <sheet name="Layer 4-F" sheetId="8" r:id="rId6"/>
    <sheet name="Everything" sheetId="9" r:id="rId7"/>
    <sheet name="Sheet2" sheetId="11" r:id="rId8"/>
    <sheet name="Sheet1" sheetId="10" r:id="rId9"/>
  </sheets>
  <definedNames>
    <definedName name="ExternalData_1" localSheetId="0" hidden="1">'Layer 1'!$A$1:$K$51</definedName>
    <definedName name="ExternalData_1" localSheetId="1" hidden="1">'Layer 3'!$A$1:$J$24</definedName>
    <definedName name="ExternalData_1" localSheetId="2" hidden="1">'Layer 4'!$A$1:$I$16</definedName>
  </definedNames>
  <calcPr calcId="191029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9" i="10" l="1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15" i="8" l="1"/>
  <c r="F9" i="8"/>
  <c r="F10" i="8"/>
  <c r="F3" i="8"/>
  <c r="F4" i="8"/>
  <c r="F11" i="8"/>
  <c r="F5" i="8"/>
  <c r="F7" i="8"/>
  <c r="F2" i="8"/>
  <c r="F8" i="8"/>
  <c r="F12" i="8"/>
  <c r="F13" i="8"/>
  <c r="F14" i="8"/>
  <c r="F16" i="8"/>
  <c r="F6" i="8"/>
  <c r="F5" i="7"/>
  <c r="F6" i="7"/>
  <c r="F22" i="7"/>
  <c r="F15" i="7"/>
  <c r="F16" i="7"/>
  <c r="F3" i="7"/>
  <c r="F4" i="7"/>
  <c r="F17" i="7"/>
  <c r="F18" i="7"/>
  <c r="F8" i="7"/>
  <c r="F13" i="7"/>
  <c r="F11" i="7"/>
  <c r="F7" i="7"/>
  <c r="F9" i="7"/>
  <c r="F10" i="7"/>
  <c r="F12" i="7"/>
  <c r="F14" i="7"/>
  <c r="F19" i="7"/>
  <c r="F20" i="7"/>
  <c r="F21" i="7"/>
  <c r="F23" i="7"/>
  <c r="F24" i="7"/>
  <c r="F2" i="7"/>
  <c r="F15" i="6"/>
  <c r="F16" i="6"/>
  <c r="F17" i="6"/>
  <c r="F18" i="6"/>
  <c r="F20" i="6"/>
  <c r="F28" i="6"/>
  <c r="F45" i="6"/>
  <c r="F47" i="6"/>
  <c r="F48" i="6"/>
  <c r="F7" i="6"/>
  <c r="F8" i="6"/>
  <c r="F32" i="6"/>
  <c r="F9" i="6"/>
  <c r="F24" i="6"/>
  <c r="F3" i="6"/>
  <c r="F33" i="6"/>
  <c r="F10" i="6"/>
  <c r="F2" i="6"/>
  <c r="F11" i="6"/>
  <c r="F14" i="6"/>
  <c r="F34" i="6"/>
  <c r="F35" i="6"/>
  <c r="F36" i="6"/>
  <c r="F37" i="6"/>
  <c r="F23" i="6"/>
  <c r="F12" i="6"/>
  <c r="F5" i="6"/>
  <c r="F38" i="6"/>
  <c r="F39" i="6"/>
  <c r="F13" i="6"/>
  <c r="F40" i="6"/>
  <c r="F41" i="6"/>
  <c r="F42" i="6"/>
  <c r="F43" i="6"/>
  <c r="F4" i="6"/>
  <c r="F21" i="6"/>
  <c r="F30" i="6"/>
  <c r="F31" i="6"/>
  <c r="F26" i="6"/>
  <c r="F25" i="6"/>
  <c r="F19" i="6"/>
  <c r="F29" i="6"/>
  <c r="F27" i="6"/>
  <c r="F44" i="6"/>
  <c r="F22" i="6"/>
  <c r="F46" i="6"/>
  <c r="F49" i="6"/>
  <c r="F50" i="6"/>
  <c r="F51" i="6"/>
  <c r="F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Layer 1" description="Connection to the 'Layer 1' query in the workbook." type="5" refreshedVersion="6" background="1" saveData="1">
    <dbPr connection="Provider=Microsoft.Mashup.OleDb.1;Data Source=$Workbook$;Location=Layer 1;Extended Properties=&quot;&quot;" command="SELECT * FROM [Layer 1]"/>
  </connection>
  <connection id="2" xr16:uid="{00000000-0015-0000-FFFF-FFFF01000000}" keepAlive="1" name="Query - Layer 3" description="Connection to the 'Layer 3' query in the workbook." type="5" refreshedVersion="6" background="1" saveData="1">
    <dbPr connection="Provider=Microsoft.Mashup.OleDb.1;Data Source=$Workbook$;Location=Layer 3;Extended Properties=&quot;&quot;" command="SELECT * FROM [Layer 3]"/>
  </connection>
  <connection id="3" xr16:uid="{00000000-0015-0000-FFFF-FFFF02000000}" keepAlive="1" name="Query - Layer 4" description="Connection to the 'Layer 4' query in the workbook." type="5" refreshedVersion="6" background="1" saveData="1">
    <dbPr connection="Provider=Microsoft.Mashup.OleDb.1;Data Source=$Workbook$;Location=Layer 4;Extended Properties=&quot;&quot;" command="SELECT * FROM [Layer 4]"/>
  </connection>
</connections>
</file>

<file path=xl/sharedStrings.xml><?xml version="1.0" encoding="utf-8"?>
<sst xmlns="http://schemas.openxmlformats.org/spreadsheetml/2006/main" count="1691" uniqueCount="266">
  <si>
    <t>Qty</t>
  </si>
  <si>
    <t>Value</t>
  </si>
  <si>
    <t>Device</t>
  </si>
  <si>
    <t>Package</t>
  </si>
  <si>
    <t>Parts</t>
  </si>
  <si>
    <t>Description</t>
  </si>
  <si>
    <t>PROD_ID</t>
  </si>
  <si>
    <t>SF_ID</t>
  </si>
  <si>
    <t>SF_SKU</t>
  </si>
  <si>
    <t>VALUE.1</t>
  </si>
  <si>
    <t>Column1</t>
  </si>
  <si>
    <t/>
  </si>
  <si>
    <t>74HC4067SSOP-24</t>
  </si>
  <si>
    <t>SSOP24</t>
  </si>
  <si>
    <t>MUX_L1, MUX_L2, MUX_L3</t>
  </si>
  <si>
    <t>CONN_021X02_NO_SILK</t>
  </si>
  <si>
    <t>1X02_NO_SILK</t>
  </si>
  <si>
    <t>LDR</t>
  </si>
  <si>
    <t>Multi connection point. Often used as Generic Header-pin footprint for 0.1 inch spaced/style header connections</t>
  </si>
  <si>
    <t>CONN_02LOCK</t>
  </si>
  <si>
    <t>1X02_LOCK</t>
  </si>
  <si>
    <t>J1</t>
  </si>
  <si>
    <t>CONN_02POLAR</t>
  </si>
  <si>
    <t>MOLEX-1X2</t>
  </si>
  <si>
    <t>LED</t>
  </si>
  <si>
    <t>PRT-09918</t>
  </si>
  <si>
    <t>CONN_03LOCK</t>
  </si>
  <si>
    <t>1X03_LOCK</t>
  </si>
  <si>
    <t>ESC_IN</t>
  </si>
  <si>
    <t>CONN_08LOCK</t>
  </si>
  <si>
    <t>1X08_LOCK</t>
  </si>
  <si>
    <t>MOUSE</t>
  </si>
  <si>
    <t>LIGHT_SENSORALS</t>
  </si>
  <si>
    <t>ALS-PT19</t>
  </si>
  <si>
    <t>Q1, Q2, Q3, Q4, Q5, Q6, Q7, Q8, Q9, Q10, Q11, Q12, Q13, Q14, Q15, Q16, Q17, Q18, Q19, Q20, Q21, Q22, Q23, Q24, Q25, Q26, Q27, Q28, Q29, Q30, Q31, Q32, Q33, Q34, Q35, Q36</t>
  </si>
  <si>
    <t>Ambient Light Sensors - Phototransistors</t>
  </si>
  <si>
    <t>IC-11836</t>
  </si>
  <si>
    <t>SEN-12566</t>
  </si>
  <si>
    <t>SN74LVC2G04DBVR</t>
  </si>
  <si>
    <t>SOT23-6</t>
  </si>
  <si>
    <t>MU1, MU2</t>
  </si>
  <si>
    <t>SWITCH-SPDT-PTH-11.6X4.0MM-LOCK</t>
  </si>
  <si>
    <t>SWITCH_SPDT_PTH_11.6X4.0MM_LOCK</t>
  </si>
  <si>
    <t>LS1, S3</t>
  </si>
  <si>
    <t>Single Pole, Double Throw (SPDT) Switch</t>
  </si>
  <si>
    <t>SWCH-08261</t>
  </si>
  <si>
    <t xml:space="preserve">COM-00102 </t>
  </si>
  <si>
    <t>TPS54X0</t>
  </si>
  <si>
    <t>POWERPAD-SOIC-8</t>
  </si>
  <si>
    <t>U1, U2</t>
  </si>
  <si>
    <t>0.1uF</t>
  </si>
  <si>
    <t>CAPACITOR0603</t>
  </si>
  <si>
    <t>C0603</t>
  </si>
  <si>
    <t>1C5, 1C9, 2C1, 2C2, 2C3, 3C1, 3C2</t>
  </si>
  <si>
    <t>1.0uF</t>
  </si>
  <si>
    <t>M1C3, M2C3, M3C3, M4C3</t>
  </si>
  <si>
    <t>10k</t>
  </si>
  <si>
    <t>RESISTOR0603</t>
  </si>
  <si>
    <t>R0603</t>
  </si>
  <si>
    <t>1R1, 1R3, M1R8, M1R9, M1R11, M2R8, M2R9, M2R11, M3R8, M3R9, M3R11, M4R8, M4R9, M4R11, R1, R4</t>
  </si>
  <si>
    <t>10nF</t>
  </si>
  <si>
    <t>1C3, 1C8, C4</t>
  </si>
  <si>
    <t>10uH</t>
  </si>
  <si>
    <t>INDUCTORSWPA8040</t>
  </si>
  <si>
    <t>SWPA8040</t>
  </si>
  <si>
    <t>1L1, 1L2</t>
  </si>
  <si>
    <t>18AWG</t>
  </si>
  <si>
    <t>GND_M2A, GND_M2B, GND_M4A, GND_M4B, V_BATT_M1A, V_BATT_M1B, V_BATT_M2A, V_BATT_M2B, V_BATT_M3A, V_BATT_M3B, V_BATT_M4A, V_BATT_M4B</t>
  </si>
  <si>
    <t>1k</t>
  </si>
  <si>
    <t>2R1, 2R2, 2R3, M1R1, M1R2, M1R5, M1R6, M1R7, M1R10, M2R1, M2R2, M2R5, M2R6, M2R7, M2R10, M3R1, M3R2, M3R5, M3R6, M3R7, M3R10, M4R1, M4R2, M4R5, M4R6, M4R7, M4R10, R2, R3</t>
  </si>
  <si>
    <t>1uF</t>
  </si>
  <si>
    <t>2C4, 2C5, 2C6, C1, C2, C3, C5, C8, LC1, LC2, LC3, LC4, LC5, LC6</t>
  </si>
  <si>
    <t>220uF</t>
  </si>
  <si>
    <t>100UF-POLAR-EIA7343-10V-10%(TANT)</t>
  </si>
  <si>
    <t>EIA7343</t>
  </si>
  <si>
    <t>1C4, 1C7</t>
  </si>
  <si>
    <t>100ÂµF polarized capacitors</t>
  </si>
  <si>
    <t>CAP-07890</t>
  </si>
  <si>
    <t>100uF</t>
  </si>
  <si>
    <t>22pF</t>
  </si>
  <si>
    <t>C6, C7</t>
  </si>
  <si>
    <t>22uF</t>
  </si>
  <si>
    <t>CAPACITOR1210</t>
  </si>
  <si>
    <t>C1210</t>
  </si>
  <si>
    <t>1C2, 1C10</t>
  </si>
  <si>
    <t>2M</t>
  </si>
  <si>
    <t>R6</t>
  </si>
  <si>
    <t>2k</t>
  </si>
  <si>
    <t>LG_R2</t>
  </si>
  <si>
    <t>3.24k</t>
  </si>
  <si>
    <t>1R4</t>
  </si>
  <si>
    <t>3.3k</t>
  </si>
  <si>
    <t>M1R3, M1R4, M2R3, M2R4, M3R3, M3R4, M4R3, M4R4</t>
  </si>
  <si>
    <t>30Î©/1.8A</t>
  </si>
  <si>
    <t>FERRITE_BEAD-0603</t>
  </si>
  <si>
    <t>0603</t>
  </si>
  <si>
    <t>FB1, FB2</t>
  </si>
  <si>
    <t>Ferrite Bead (blocks, cores, rings, chokes, etc.)</t>
  </si>
  <si>
    <t>NDUC-13805</t>
  </si>
  <si>
    <t>33nF</t>
  </si>
  <si>
    <t>M1C1, M2C1, M3C1, M4C1</t>
  </si>
  <si>
    <t>3528LED</t>
  </si>
  <si>
    <t>3528</t>
  </si>
  <si>
    <t>LD1, LD2, LD3, LD4, LD5, LD6, LD7, LD8, LD9, LD10, LD11, LD12, LD13, LD14, LD15, LD16, LD17, LD18, LD19, LD20, LD21, LD22, LD23, LD24, LD25, LD26, LD27, LD28, LD29, LD30, LD31, LD32, LD33, LD34, LD35, LD36</t>
  </si>
  <si>
    <t>3k</t>
  </si>
  <si>
    <t>2R4, 2R5, 2R6</t>
  </si>
  <si>
    <t>4.7k</t>
  </si>
  <si>
    <t>M1R12, M2R12, M3R12, M4R12, R8, R9</t>
  </si>
  <si>
    <t>4.7uF</t>
  </si>
  <si>
    <t>1C1, 1C6</t>
  </si>
  <si>
    <t>47</t>
  </si>
  <si>
    <t>LR1</t>
  </si>
  <si>
    <t>470</t>
  </si>
  <si>
    <t>R5</t>
  </si>
  <si>
    <t>5.9k</t>
  </si>
  <si>
    <t>1R2</t>
  </si>
  <si>
    <t>500k</t>
  </si>
  <si>
    <t>R7</t>
  </si>
  <si>
    <t>680uF</t>
  </si>
  <si>
    <t>3.5MM_CAP</t>
  </si>
  <si>
    <t>M1C2, M2C2, M3C2, M4C2</t>
  </si>
  <si>
    <t>8MHz</t>
  </si>
  <si>
    <t>CRYSTALSMD-5X3.2-2PAD</t>
  </si>
  <si>
    <t>CRYSTAL-SMD-5X3.2-2PAD</t>
  </si>
  <si>
    <t>Y1</t>
  </si>
  <si>
    <t>Crystals (Generic)</t>
  </si>
  <si>
    <t>AO3402</t>
  </si>
  <si>
    <t>MOSFET-NCH-AO3404A</t>
  </si>
  <si>
    <t>SOT23-3</t>
  </si>
  <si>
    <t>Q37</t>
  </si>
  <si>
    <t>N-channel MOSFETs</t>
  </si>
  <si>
    <t>TRANS-12988</t>
  </si>
  <si>
    <t>5.8A/30V/35mÎ©</t>
  </si>
  <si>
    <t>AOD482</t>
  </si>
  <si>
    <t>MOSFET-NCH-FDD8780</t>
  </si>
  <si>
    <t>DPAK</t>
  </si>
  <si>
    <t>M1Q1, M2Q1, M3Q1, M4Q1</t>
  </si>
  <si>
    <t>TRANS-09984</t>
  </si>
  <si>
    <t>35A/25V/8.5mÎ©</t>
  </si>
  <si>
    <t>BLUE</t>
  </si>
  <si>
    <t>LED-BLUE0603</t>
  </si>
  <si>
    <t>LED-0603</t>
  </si>
  <si>
    <t>M1D2, M2D2, M3D2, M4D2</t>
  </si>
  <si>
    <t>Blue SMD LED</t>
  </si>
  <si>
    <t>DIO-08575</t>
  </si>
  <si>
    <t>LED0603</t>
  </si>
  <si>
    <t>D1</t>
  </si>
  <si>
    <t>LED (Generic)</t>
  </si>
  <si>
    <t>CONN_07X2</t>
  </si>
  <si>
    <t>2X7</t>
  </si>
  <si>
    <t>U$15</t>
  </si>
  <si>
    <t>MOMENTARY_SWITCH_4X3</t>
  </si>
  <si>
    <t>BOOT, RST</t>
  </si>
  <si>
    <t>RED</t>
  </si>
  <si>
    <t>LED-RED0603</t>
  </si>
  <si>
    <t>M1D1, M2D1, M3D1, M4D1</t>
  </si>
  <si>
    <t>Red SMD LED</t>
  </si>
  <si>
    <t>DIO-00819</t>
  </si>
  <si>
    <t>SM06B-SRSS-TB</t>
  </si>
  <si>
    <t>X2</t>
  </si>
  <si>
    <t>JST SH series header 1.00mm pitch disconnectable crimp style connectors, horizontal (side entry type), 6 pins</t>
  </si>
  <si>
    <t>SS54</t>
  </si>
  <si>
    <t>DIODE-SCHOTTKY</t>
  </si>
  <si>
    <t>SMA-DIODE</t>
  </si>
  <si>
    <t>1D1, 1D2</t>
  </si>
  <si>
    <t>STM32F103CBT6</t>
  </si>
  <si>
    <t>LQFP48</t>
  </si>
  <si>
    <t>U$2</t>
  </si>
  <si>
    <t>VNH5019</t>
  </si>
  <si>
    <t>POWERSO-30</t>
  </si>
  <si>
    <t>M_BL, M_BR, M_FL, M_FR</t>
  </si>
  <si>
    <t>XT30PB-F</t>
  </si>
  <si>
    <t>ESC_OUT, M1J1, M2J1, M3J1, M4J1</t>
  </si>
  <si>
    <t>XT60XT60PB-M</t>
  </si>
  <si>
    <t>XT60PB-M</t>
  </si>
  <si>
    <t>U$1</t>
  </si>
  <si>
    <t>3C1, 3C2, 3C3, 3C4, 3C5, 3C6, 3C7, 3C8, 3C9, 3C10, 3C11, 3C12, 3C13, 3C14, 3C15, 3C16, 3C17, 3C18, 3C19, 3C20, 3C21, 3C22, 3C23, 3C24</t>
  </si>
  <si>
    <t>SERVO_IO</t>
  </si>
  <si>
    <t>3V3_PWR, 5V_PWR</t>
  </si>
  <si>
    <t>R1, R4, R6, R7, R8, R9</t>
  </si>
  <si>
    <t>R2, R3</t>
  </si>
  <si>
    <t>C1, C2, C3, C5</t>
  </si>
  <si>
    <t>R12, R13</t>
  </si>
  <si>
    <t>Q2</t>
  </si>
  <si>
    <t>U$14</t>
  </si>
  <si>
    <t>DIP-04SMD</t>
  </si>
  <si>
    <t>DIPSWITCH-04-SMD</t>
  </si>
  <si>
    <t>S1</t>
  </si>
  <si>
    <t>4-Position DIP Switch</t>
  </si>
  <si>
    <t>HC-05</t>
  </si>
  <si>
    <t>BLUETOOTH</t>
  </si>
  <si>
    <t>OPENMV3</t>
  </si>
  <si>
    <t>U$8</t>
  </si>
  <si>
    <t>SM04B-SRSS-TB</t>
  </si>
  <si>
    <t>4TH_LAYER</t>
  </si>
  <si>
    <t>JST SH series header 1.00mm pitch disconnectable crimp style connectors, horizontal (side entry type), 4 pins</t>
  </si>
  <si>
    <t>X1</t>
  </si>
  <si>
    <t>STM32_IR</t>
  </si>
  <si>
    <t>TEENSY_3.5/3.6_NO_MIDDLE</t>
  </si>
  <si>
    <t>TSSP58038</t>
  </si>
  <si>
    <t>3U1, 3U2, 3U3, 3U4, 3U5, 3U6, 3U7, 3U8, 3U9, 3U10, 3U11, 3U12, 3U13, 3U14, 3U15, 3U16, 3U17, 3U18, 3U19, 3U20, 3U21, 3U22, 3U23, 3U24</t>
  </si>
  <si>
    <t>1D1, 1D2, 1D3, 1D4, 1D5, 1D6, 1D7, 1D8, 1D9, 1D10, 1D11, 1D12, 1D13, 1D14, 1D15, 1D16</t>
  </si>
  <si>
    <t>3V3_PWR</t>
  </si>
  <si>
    <t>R1, R4</t>
  </si>
  <si>
    <t>R2, R3, R5</t>
  </si>
  <si>
    <t>1R1, 1R2, 1R3, 1R4, 1R5, 1R6, 1R7, 1R8</t>
  </si>
  <si>
    <t>BNO055</t>
  </si>
  <si>
    <t>COMPASS</t>
  </si>
  <si>
    <t>BNO_RESET, BOOT, RST</t>
  </si>
  <si>
    <t>3RD_LAYER</t>
  </si>
  <si>
    <t>STM32</t>
  </si>
  <si>
    <t>VL53L1X</t>
  </si>
  <si>
    <t>VL53L1X_SLANTEDPINS</t>
  </si>
  <si>
    <t>TOF1, TOF2, TOF3, TOF4</t>
  </si>
  <si>
    <t>Part No</t>
  </si>
  <si>
    <t>Unit Price</t>
  </si>
  <si>
    <t>Total Qty</t>
  </si>
  <si>
    <t>Total Price</t>
  </si>
  <si>
    <t>Product Link</t>
  </si>
  <si>
    <t>Remarks</t>
  </si>
  <si>
    <t>Grand Total</t>
  </si>
  <si>
    <t>Sum of Qty</t>
  </si>
  <si>
    <t>Sum of Total Qty</t>
  </si>
  <si>
    <t>(blank)</t>
  </si>
  <si>
    <t>Values</t>
  </si>
  <si>
    <t>100UF-POLAR-EIA7343-10V-10%(TANT) Total</t>
  </si>
  <si>
    <t>18AWG Total</t>
  </si>
  <si>
    <t>3.5MM_CAP Total</t>
  </si>
  <si>
    <t>3528LED Total</t>
  </si>
  <si>
    <t>74HC4067SSOP-24 Total</t>
  </si>
  <si>
    <t>BNO055 Total</t>
  </si>
  <si>
    <t>CAPACITOR0603 Total</t>
  </si>
  <si>
    <t>CAPACITOR1210 Total</t>
  </si>
  <si>
    <t>CONN_021X02_NO_SILK Total</t>
  </si>
  <si>
    <t>CONN_02LOCK Total</t>
  </si>
  <si>
    <t>CONN_02POLAR Total</t>
  </si>
  <si>
    <t>CONN_03LOCK Total</t>
  </si>
  <si>
    <t>CONN_07X2 Total</t>
  </si>
  <si>
    <t>CONN_08LOCK Total</t>
  </si>
  <si>
    <t>CRYSTALSMD-5X3.2-2PAD Total</t>
  </si>
  <si>
    <t>DIODE-SCHOTTKY Total</t>
  </si>
  <si>
    <t>DIP-04SMD Total</t>
  </si>
  <si>
    <t>FERRITE_BEAD-0603 Total</t>
  </si>
  <si>
    <t>HC-05 Total</t>
  </si>
  <si>
    <t>INDUCTORSWPA8040 Total</t>
  </si>
  <si>
    <t>LED0603 Total</t>
  </si>
  <si>
    <t>LED-BLUE0603 Total</t>
  </si>
  <si>
    <t>LED-RED0603 Total</t>
  </si>
  <si>
    <t>LIGHT_SENSORALS Total</t>
  </si>
  <si>
    <t>MOMENTARY_SWITCH_4X3 Total</t>
  </si>
  <si>
    <t>MOSFET-NCH-AO3404A Total</t>
  </si>
  <si>
    <t>MOSFET-NCH-FDD8780 Total</t>
  </si>
  <si>
    <t>OPENMV3 Total</t>
  </si>
  <si>
    <t>RESISTOR0603 Total</t>
  </si>
  <si>
    <t>SM04B-SRSS-TB Total</t>
  </si>
  <si>
    <t>SM06B-SRSS-TB Total</t>
  </si>
  <si>
    <t>SN74LVC2G04DBVR Total</t>
  </si>
  <si>
    <t>STM32F103CBT6 Total</t>
  </si>
  <si>
    <t>SWITCH-SPDT-PTH-11.6X4.0MM-LOCK Total</t>
  </si>
  <si>
    <t>TEENSY_3.5/3.6_NO_MIDDLE Total</t>
  </si>
  <si>
    <t>TPS54X0 Total</t>
  </si>
  <si>
    <t>TSSP58038 Total</t>
  </si>
  <si>
    <t>VL53L1X Total</t>
  </si>
  <si>
    <t>VNH5019 Total</t>
  </si>
  <si>
    <t>XT30PB-F Total</t>
  </si>
  <si>
    <t>XT60XT60PB-M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</si>
</sst>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4"/>
      <color theme="1"/>
      <name val="SF Pro Display"/>
      <family val="3"/>
    </font>
    <font>
      <sz val="12"/>
      <color theme="1"/>
      <name val="SF Pro Display"/>
      <family val="3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0" borderId="0" applyNumberFormat="0" applyBorder="0" applyAlignment="0" applyProtection="0"/>
    <xf numFmtId="164" fontId="1" fillId="0" borderId="0" applyFont="0" applyFill="0" applyBorder="0" applyAlignment="0" applyProtection="0"/>
    <xf numFmtId="0" fontId="1" fillId="0" borderId="0" applyNumberFormat="0" applyBorder="0" applyAlignment="0" applyProtection="0"/>
  </cellStyleXfs>
  <cellXfs count="19">
    <xf numFmtId="0" fontId="0" fillId="0" borderId="0" xfId="0"/>
    <xf numFmtId="0" fontId="0" fillId="0" borderId="0" xfId="0" applyNumberFormat="1"/>
    <xf numFmtId="0" fontId="3" fillId="0" borderId="0" xfId="0" applyFont="1"/>
    <xf numFmtId="0" fontId="4" fillId="0" borderId="0" xfId="0" applyFont="1"/>
    <xf numFmtId="0" fontId="4" fillId="0" borderId="0" xfId="0" applyNumberFormat="1" applyFont="1"/>
    <xf numFmtId="0" fontId="4" fillId="0" borderId="0" xfId="0" applyFont="1" applyFill="1"/>
    <xf numFmtId="0" fontId="4" fillId="0" borderId="0" xfId="0" applyNumberFormat="1" applyFont="1" applyFill="1"/>
    <xf numFmtId="0" fontId="4" fillId="0" borderId="0" xfId="0" applyNumberFormat="1" applyFont="1" applyFill="1" applyBorder="1"/>
    <xf numFmtId="0" fontId="4" fillId="0" borderId="2" xfId="0" applyNumberFormat="1" applyFont="1" applyFill="1" applyBorder="1"/>
    <xf numFmtId="0" fontId="4" fillId="0" borderId="1" xfId="0" applyFont="1" applyFill="1" applyBorder="1"/>
    <xf numFmtId="0" fontId="3" fillId="0" borderId="0" xfId="0" applyFont="1" applyFill="1"/>
    <xf numFmtId="0" fontId="4" fillId="3" borderId="0" xfId="3" applyFont="1" applyFill="1"/>
    <xf numFmtId="0" fontId="4" fillId="3" borderId="0" xfId="0" applyFont="1" applyFill="1"/>
    <xf numFmtId="0" fontId="4" fillId="3" borderId="0" xfId="3" applyNumberFormat="1" applyFont="1" applyFill="1"/>
    <xf numFmtId="49" fontId="4" fillId="0" borderId="0" xfId="0" applyNumberFormat="1" applyFont="1"/>
    <xf numFmtId="0" fontId="4" fillId="0" borderId="0" xfId="1" applyNumberFormat="1" applyFont="1"/>
    <xf numFmtId="0" fontId="0" fillId="0" borderId="0" xfId="0" pivotButton="1"/>
    <xf numFmtId="0" fontId="0" fillId="4" borderId="0" xfId="0" applyFill="1"/>
    <xf numFmtId="0" fontId="0" fillId="4" borderId="0" xfId="0" applyNumberFormat="1" applyFill="1"/>
  </cellXfs>
  <cellStyles count="6">
    <cellStyle name="Currency 2" xfId="4" xr:uid="{00000000-0005-0000-0000-000000000000}"/>
    <cellStyle name="Good" xfId="2" builtinId="26" customBuiltin="1"/>
    <cellStyle name="Normal" xfId="0" builtinId="0"/>
    <cellStyle name="Normal 2" xfId="3" xr:uid="{00000000-0005-0000-0000-000003000000}"/>
    <cellStyle name="Normal 3" xfId="5" xr:uid="{00000000-0005-0000-0000-000004000000}"/>
    <cellStyle name="Percent" xfId="1" builtinId="5"/>
  </cellStyles>
  <dxfs count="38">
    <dxf>
      <fill>
        <patternFill>
          <bgColor rgb="FFFFFF00"/>
        </patternFill>
      </fill>
    </dxf>
    <dxf>
      <fill>
        <patternFill patternType="solid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4</xdr:row>
      <xdr:rowOff>47625</xdr:rowOff>
    </xdr:from>
    <xdr:to>
      <xdr:col>6</xdr:col>
      <xdr:colOff>180975</xdr:colOff>
      <xdr:row>6</xdr:row>
      <xdr:rowOff>57150</xdr:rowOff>
    </xdr:to>
    <xdr:sp macro="[0]!VincentMacro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962400" y="847725"/>
          <a:ext cx="7429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cent Cayadi" refreshedDate="44256.971647916667" createdVersion="4" refreshedVersion="6" minRefreshableVersion="3" recordCount="88" xr:uid="{3D056B31-E2CC-4AB9-8B55-EF516E4F4EE5}">
  <cacheSource type="worksheet">
    <worksheetSource ref="A1:F89" sheet="Sheet1"/>
  </cacheSource>
  <cacheFields count="6">
    <cacheField name="Part No" numFmtId="0">
      <sharedItems count="41">
        <s v="100UF-POLAR-EIA7343-10V-10%(TANT)"/>
        <s v="18AWG"/>
        <s v="3.5MM_CAP"/>
        <s v="3528LED"/>
        <s v="74HC4067SSOP-24"/>
        <s v="CAPACITOR0603"/>
        <s v="CAPACITOR1210"/>
        <s v="CONN_021X02_NO_SILK"/>
        <s v="CONN_02LOCK"/>
        <s v="CONN_02POLAR"/>
        <s v="CONN_03LOCK"/>
        <s v="CONN_07X2"/>
        <s v="CONN_08LOCK"/>
        <s v="CRYSTALSMD-5X3.2-2PAD"/>
        <s v="DIODE-SCHOTTKY"/>
        <s v="FERRITE_BEAD-0603"/>
        <s v="INDUCTORSWPA8040"/>
        <s v="LED0603"/>
        <s v="LED-BLUE0603"/>
        <s v="LED-RED0603"/>
        <s v="LIGHT_SENSORALS"/>
        <s v="MOMENTARY_SWITCH_4X3"/>
        <s v="MOSFET-NCH-AO3404A"/>
        <s v="MOSFET-NCH-FDD8780"/>
        <s v="RESISTOR0603"/>
        <s v="SM06B-SRSS-TB"/>
        <s v="SN74LVC2G04DBVR"/>
        <s v="STM32F103CBT6"/>
        <s v="SWITCH-SPDT-PTH-11.6X4.0MM-LOCK"/>
        <s v="TPS54X0"/>
        <s v="VNH5019"/>
        <s v="XT30PB-F"/>
        <s v="XT60XT60PB-M"/>
        <s v="DIP-04SMD"/>
        <s v="HC-05"/>
        <s v="OPENMV3"/>
        <s v="SM04B-SRSS-TB"/>
        <s v="TEENSY_3.5/3.6_NO_MIDDLE"/>
        <s v="TSSP58038"/>
        <s v="BNO055"/>
        <s v="VL53L1X"/>
      </sharedItems>
    </cacheField>
    <cacheField name="Description" numFmtId="0">
      <sharedItems count="48">
        <s v="220uF"/>
        <s v="18AWG"/>
        <s v="680uF"/>
        <s v="3528LED"/>
        <s v=""/>
        <s v="0.1uF"/>
        <s v="1.0uF"/>
        <s v="10nF"/>
        <s v="1uF"/>
        <s v="22pF"/>
        <s v="33nF"/>
        <s v="4.7uF"/>
        <s v="22uF"/>
        <s v="CONN_07X2"/>
        <s v="8MHz"/>
        <s v="SS54"/>
        <s v="30Î©/1.8A"/>
        <s v="10uH"/>
        <s v="BLUE"/>
        <s v="RED"/>
        <s v="MOMENTARY_SWITCH_4X3"/>
        <s v="AO3402"/>
        <s v="AOD482"/>
        <s v="10k"/>
        <s v="1k"/>
        <s v="2M"/>
        <s v="2k"/>
        <s v="3.24k"/>
        <s v="3.3k"/>
        <s v="3k"/>
        <s v="4.7k"/>
        <s v="47"/>
        <s v="470"/>
        <s v="5.9k"/>
        <s v="500k"/>
        <s v="SM06B-SRSS-TB"/>
        <s v="STM32F103CBT6"/>
        <s v="VNH5019"/>
        <s v="XT30PB-F"/>
        <s v="XT60XT60PB-M"/>
        <s v="DIP-04SMD"/>
        <s v="HC-05"/>
        <s v="OPENMV3"/>
        <s v="SM04B-SRSS-TB"/>
        <s v="TEENSY_3.5/3.6_NO_MIDDLE"/>
        <s v="TSSP58038"/>
        <s v="BNO055"/>
        <s v="VL53L1X"/>
      </sharedItems>
    </cacheField>
    <cacheField name="Package" numFmtId="0">
      <sharedItems count="39">
        <s v="EIA7343"/>
        <s v="18AWG"/>
        <s v="3.5MM_CAP"/>
        <s v="3528"/>
        <s v="SSOP24"/>
        <s v="C0603"/>
        <s v="C1210"/>
        <s v="1X02_NO_SILK"/>
        <s v="1X02_LOCK"/>
        <s v="MOLEX-1X2"/>
        <s v="1X03_LOCK"/>
        <s v="2X7"/>
        <s v="1X08_LOCK"/>
        <s v="CRYSTAL-SMD-5X3.2-2PAD"/>
        <s v="SMA-DIODE"/>
        <s v="0603"/>
        <s v="SWPA8040"/>
        <s v="LED-0603"/>
        <s v="ALS-PT19"/>
        <s v="MOMENTARY_SWITCH_4X3"/>
        <s v="SOT23-3"/>
        <s v="DPAK"/>
        <s v="R0603"/>
        <s v="SM06B-SRSS-TB"/>
        <s v="SOT23-6"/>
        <s v="LQFP48"/>
        <s v="SWITCH_SPDT_PTH_11.6X4.0MM_LOCK"/>
        <s v="POWERPAD-SOIC-8"/>
        <s v="POWERSO-30"/>
        <s v="XT30PB-F"/>
        <s v="XT60PB-M"/>
        <s v="DIPSWITCH-04-SMD"/>
        <s v="HC-05"/>
        <s v="OPENMV3"/>
        <s v="SM04B-SRSS-TB"/>
        <s v="TEENSY_3.5/3.6_NO_MIDDLE"/>
        <s v="TSSP58038"/>
        <s v="BNO055"/>
        <s v="VL53L1X_SLANTEDPINS"/>
      </sharedItems>
    </cacheField>
    <cacheField name="Unit Price" numFmtId="0">
      <sharedItems containsNonDate="0" containsString="0" containsBlank="1" count="1">
        <m/>
      </sharedItems>
    </cacheField>
    <cacheField name="Qty" numFmtId="0">
      <sharedItems containsSemiMixedTypes="0" containsString="0" containsNumber="1" containsInteger="1" minValue="1" maxValue="36"/>
    </cacheField>
    <cacheField name="Total Qty" numFmtId="0">
      <sharedItems containsSemiMixedTypes="0" containsString="0" containsNumber="1" containsInteger="1" minValue="2" maxValue="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x v="0"/>
    <x v="0"/>
    <n v="2"/>
    <n v="4"/>
  </r>
  <r>
    <x v="1"/>
    <x v="1"/>
    <x v="1"/>
    <x v="0"/>
    <n v="12"/>
    <n v="24"/>
  </r>
  <r>
    <x v="2"/>
    <x v="2"/>
    <x v="2"/>
    <x v="0"/>
    <n v="4"/>
    <n v="8"/>
  </r>
  <r>
    <x v="3"/>
    <x v="3"/>
    <x v="3"/>
    <x v="0"/>
    <n v="36"/>
    <n v="72"/>
  </r>
  <r>
    <x v="4"/>
    <x v="4"/>
    <x v="4"/>
    <x v="0"/>
    <n v="3"/>
    <n v="6"/>
  </r>
  <r>
    <x v="5"/>
    <x v="5"/>
    <x v="5"/>
    <x v="0"/>
    <n v="7"/>
    <n v="14"/>
  </r>
  <r>
    <x v="5"/>
    <x v="6"/>
    <x v="5"/>
    <x v="0"/>
    <n v="4"/>
    <n v="8"/>
  </r>
  <r>
    <x v="5"/>
    <x v="7"/>
    <x v="5"/>
    <x v="0"/>
    <n v="3"/>
    <n v="6"/>
  </r>
  <r>
    <x v="5"/>
    <x v="8"/>
    <x v="5"/>
    <x v="0"/>
    <n v="14"/>
    <n v="28"/>
  </r>
  <r>
    <x v="5"/>
    <x v="9"/>
    <x v="5"/>
    <x v="0"/>
    <n v="2"/>
    <n v="4"/>
  </r>
  <r>
    <x v="5"/>
    <x v="10"/>
    <x v="5"/>
    <x v="0"/>
    <n v="4"/>
    <n v="8"/>
  </r>
  <r>
    <x v="5"/>
    <x v="11"/>
    <x v="5"/>
    <x v="0"/>
    <n v="2"/>
    <n v="4"/>
  </r>
  <r>
    <x v="6"/>
    <x v="12"/>
    <x v="6"/>
    <x v="0"/>
    <n v="2"/>
    <n v="4"/>
  </r>
  <r>
    <x v="7"/>
    <x v="4"/>
    <x v="7"/>
    <x v="0"/>
    <n v="1"/>
    <n v="2"/>
  </r>
  <r>
    <x v="8"/>
    <x v="4"/>
    <x v="8"/>
    <x v="0"/>
    <n v="1"/>
    <n v="2"/>
  </r>
  <r>
    <x v="9"/>
    <x v="4"/>
    <x v="9"/>
    <x v="0"/>
    <n v="1"/>
    <n v="2"/>
  </r>
  <r>
    <x v="10"/>
    <x v="4"/>
    <x v="10"/>
    <x v="0"/>
    <n v="1"/>
    <n v="2"/>
  </r>
  <r>
    <x v="11"/>
    <x v="13"/>
    <x v="11"/>
    <x v="0"/>
    <n v="1"/>
    <n v="2"/>
  </r>
  <r>
    <x v="12"/>
    <x v="4"/>
    <x v="12"/>
    <x v="0"/>
    <n v="1"/>
    <n v="2"/>
  </r>
  <r>
    <x v="13"/>
    <x v="14"/>
    <x v="13"/>
    <x v="0"/>
    <n v="1"/>
    <n v="2"/>
  </r>
  <r>
    <x v="14"/>
    <x v="15"/>
    <x v="14"/>
    <x v="0"/>
    <n v="2"/>
    <n v="4"/>
  </r>
  <r>
    <x v="15"/>
    <x v="16"/>
    <x v="15"/>
    <x v="0"/>
    <n v="2"/>
    <n v="4"/>
  </r>
  <r>
    <x v="16"/>
    <x v="17"/>
    <x v="16"/>
    <x v="0"/>
    <n v="2"/>
    <n v="4"/>
  </r>
  <r>
    <x v="17"/>
    <x v="18"/>
    <x v="17"/>
    <x v="0"/>
    <n v="1"/>
    <n v="2"/>
  </r>
  <r>
    <x v="18"/>
    <x v="18"/>
    <x v="17"/>
    <x v="0"/>
    <n v="4"/>
    <n v="8"/>
  </r>
  <r>
    <x v="19"/>
    <x v="19"/>
    <x v="17"/>
    <x v="0"/>
    <n v="4"/>
    <n v="8"/>
  </r>
  <r>
    <x v="20"/>
    <x v="4"/>
    <x v="18"/>
    <x v="0"/>
    <n v="36"/>
    <n v="72"/>
  </r>
  <r>
    <x v="21"/>
    <x v="20"/>
    <x v="19"/>
    <x v="0"/>
    <n v="2"/>
    <n v="4"/>
  </r>
  <r>
    <x v="22"/>
    <x v="21"/>
    <x v="20"/>
    <x v="0"/>
    <n v="1"/>
    <n v="2"/>
  </r>
  <r>
    <x v="23"/>
    <x v="22"/>
    <x v="21"/>
    <x v="0"/>
    <n v="4"/>
    <n v="8"/>
  </r>
  <r>
    <x v="24"/>
    <x v="23"/>
    <x v="22"/>
    <x v="0"/>
    <n v="16"/>
    <n v="32"/>
  </r>
  <r>
    <x v="24"/>
    <x v="24"/>
    <x v="22"/>
    <x v="0"/>
    <n v="29"/>
    <n v="58"/>
  </r>
  <r>
    <x v="24"/>
    <x v="25"/>
    <x v="22"/>
    <x v="0"/>
    <n v="1"/>
    <n v="2"/>
  </r>
  <r>
    <x v="24"/>
    <x v="26"/>
    <x v="22"/>
    <x v="0"/>
    <n v="1"/>
    <n v="2"/>
  </r>
  <r>
    <x v="24"/>
    <x v="27"/>
    <x v="22"/>
    <x v="0"/>
    <n v="1"/>
    <n v="2"/>
  </r>
  <r>
    <x v="24"/>
    <x v="28"/>
    <x v="22"/>
    <x v="0"/>
    <n v="8"/>
    <n v="16"/>
  </r>
  <r>
    <x v="24"/>
    <x v="29"/>
    <x v="22"/>
    <x v="0"/>
    <n v="3"/>
    <n v="6"/>
  </r>
  <r>
    <x v="24"/>
    <x v="30"/>
    <x v="22"/>
    <x v="0"/>
    <n v="6"/>
    <n v="12"/>
  </r>
  <r>
    <x v="24"/>
    <x v="31"/>
    <x v="22"/>
    <x v="0"/>
    <n v="1"/>
    <n v="2"/>
  </r>
  <r>
    <x v="24"/>
    <x v="32"/>
    <x v="22"/>
    <x v="0"/>
    <n v="1"/>
    <n v="2"/>
  </r>
  <r>
    <x v="24"/>
    <x v="33"/>
    <x v="22"/>
    <x v="0"/>
    <n v="1"/>
    <n v="2"/>
  </r>
  <r>
    <x v="24"/>
    <x v="34"/>
    <x v="22"/>
    <x v="0"/>
    <n v="1"/>
    <n v="2"/>
  </r>
  <r>
    <x v="25"/>
    <x v="35"/>
    <x v="23"/>
    <x v="0"/>
    <n v="1"/>
    <n v="2"/>
  </r>
  <r>
    <x v="26"/>
    <x v="4"/>
    <x v="24"/>
    <x v="0"/>
    <n v="2"/>
    <n v="4"/>
  </r>
  <r>
    <x v="27"/>
    <x v="36"/>
    <x v="25"/>
    <x v="0"/>
    <n v="1"/>
    <n v="2"/>
  </r>
  <r>
    <x v="28"/>
    <x v="4"/>
    <x v="26"/>
    <x v="0"/>
    <n v="2"/>
    <n v="4"/>
  </r>
  <r>
    <x v="29"/>
    <x v="4"/>
    <x v="27"/>
    <x v="0"/>
    <n v="2"/>
    <n v="4"/>
  </r>
  <r>
    <x v="30"/>
    <x v="37"/>
    <x v="28"/>
    <x v="0"/>
    <n v="4"/>
    <n v="8"/>
  </r>
  <r>
    <x v="31"/>
    <x v="38"/>
    <x v="29"/>
    <x v="0"/>
    <n v="5"/>
    <n v="10"/>
  </r>
  <r>
    <x v="32"/>
    <x v="39"/>
    <x v="30"/>
    <x v="0"/>
    <n v="1"/>
    <n v="2"/>
  </r>
  <r>
    <x v="5"/>
    <x v="4"/>
    <x v="5"/>
    <x v="0"/>
    <n v="24"/>
    <n v="48"/>
  </r>
  <r>
    <x v="5"/>
    <x v="8"/>
    <x v="5"/>
    <x v="0"/>
    <n v="4"/>
    <n v="8"/>
  </r>
  <r>
    <x v="5"/>
    <x v="9"/>
    <x v="5"/>
    <x v="0"/>
    <n v="2"/>
    <n v="4"/>
  </r>
  <r>
    <x v="8"/>
    <x v="4"/>
    <x v="8"/>
    <x v="0"/>
    <n v="1"/>
    <n v="2"/>
  </r>
  <r>
    <x v="10"/>
    <x v="4"/>
    <x v="10"/>
    <x v="0"/>
    <n v="1"/>
    <n v="2"/>
  </r>
  <r>
    <x v="11"/>
    <x v="13"/>
    <x v="11"/>
    <x v="0"/>
    <n v="1"/>
    <n v="2"/>
  </r>
  <r>
    <x v="13"/>
    <x v="14"/>
    <x v="13"/>
    <x v="0"/>
    <n v="1"/>
    <n v="2"/>
  </r>
  <r>
    <x v="33"/>
    <x v="40"/>
    <x v="31"/>
    <x v="0"/>
    <n v="1"/>
    <n v="2"/>
  </r>
  <r>
    <x v="34"/>
    <x v="41"/>
    <x v="32"/>
    <x v="0"/>
    <n v="1"/>
    <n v="2"/>
  </r>
  <r>
    <x v="17"/>
    <x v="18"/>
    <x v="17"/>
    <x v="0"/>
    <n v="1"/>
    <n v="2"/>
  </r>
  <r>
    <x v="21"/>
    <x v="20"/>
    <x v="19"/>
    <x v="0"/>
    <n v="2"/>
    <n v="4"/>
  </r>
  <r>
    <x v="22"/>
    <x v="21"/>
    <x v="20"/>
    <x v="0"/>
    <n v="1"/>
    <n v="2"/>
  </r>
  <r>
    <x v="35"/>
    <x v="42"/>
    <x v="33"/>
    <x v="0"/>
    <n v="1"/>
    <n v="2"/>
  </r>
  <r>
    <x v="24"/>
    <x v="23"/>
    <x v="22"/>
    <x v="0"/>
    <n v="6"/>
    <n v="12"/>
  </r>
  <r>
    <x v="24"/>
    <x v="24"/>
    <x v="22"/>
    <x v="0"/>
    <n v="2"/>
    <n v="4"/>
  </r>
  <r>
    <x v="24"/>
    <x v="30"/>
    <x v="22"/>
    <x v="0"/>
    <n v="2"/>
    <n v="4"/>
  </r>
  <r>
    <x v="24"/>
    <x v="32"/>
    <x v="22"/>
    <x v="0"/>
    <n v="1"/>
    <n v="2"/>
  </r>
  <r>
    <x v="36"/>
    <x v="43"/>
    <x v="34"/>
    <x v="0"/>
    <n v="1"/>
    <n v="2"/>
  </r>
  <r>
    <x v="25"/>
    <x v="35"/>
    <x v="23"/>
    <x v="0"/>
    <n v="1"/>
    <n v="2"/>
  </r>
  <r>
    <x v="27"/>
    <x v="36"/>
    <x v="25"/>
    <x v="0"/>
    <n v="1"/>
    <n v="2"/>
  </r>
  <r>
    <x v="28"/>
    <x v="4"/>
    <x v="26"/>
    <x v="0"/>
    <n v="2"/>
    <n v="4"/>
  </r>
  <r>
    <x v="37"/>
    <x v="44"/>
    <x v="35"/>
    <x v="0"/>
    <n v="1"/>
    <n v="2"/>
  </r>
  <r>
    <x v="38"/>
    <x v="45"/>
    <x v="36"/>
    <x v="0"/>
    <n v="24"/>
    <n v="48"/>
  </r>
  <r>
    <x v="39"/>
    <x v="46"/>
    <x v="37"/>
    <x v="0"/>
    <n v="1"/>
    <n v="2"/>
  </r>
  <r>
    <x v="5"/>
    <x v="8"/>
    <x v="5"/>
    <x v="0"/>
    <n v="4"/>
    <n v="8"/>
  </r>
  <r>
    <x v="5"/>
    <x v="9"/>
    <x v="5"/>
    <x v="0"/>
    <n v="2"/>
    <n v="4"/>
  </r>
  <r>
    <x v="13"/>
    <x v="14"/>
    <x v="13"/>
    <x v="0"/>
    <n v="1"/>
    <n v="2"/>
  </r>
  <r>
    <x v="17"/>
    <x v="4"/>
    <x v="17"/>
    <x v="0"/>
    <n v="16"/>
    <n v="32"/>
  </r>
  <r>
    <x v="17"/>
    <x v="18"/>
    <x v="17"/>
    <x v="0"/>
    <n v="1"/>
    <n v="2"/>
  </r>
  <r>
    <x v="21"/>
    <x v="20"/>
    <x v="19"/>
    <x v="0"/>
    <n v="3"/>
    <n v="6"/>
  </r>
  <r>
    <x v="24"/>
    <x v="23"/>
    <x v="22"/>
    <x v="0"/>
    <n v="2"/>
    <n v="4"/>
  </r>
  <r>
    <x v="24"/>
    <x v="24"/>
    <x v="22"/>
    <x v="0"/>
    <n v="3"/>
    <n v="6"/>
  </r>
  <r>
    <x v="24"/>
    <x v="32"/>
    <x v="22"/>
    <x v="0"/>
    <n v="8"/>
    <n v="16"/>
  </r>
  <r>
    <x v="36"/>
    <x v="43"/>
    <x v="34"/>
    <x v="0"/>
    <n v="1"/>
    <n v="2"/>
  </r>
  <r>
    <x v="25"/>
    <x v="35"/>
    <x v="23"/>
    <x v="0"/>
    <n v="1"/>
    <n v="2"/>
  </r>
  <r>
    <x v="27"/>
    <x v="36"/>
    <x v="25"/>
    <x v="0"/>
    <n v="1"/>
    <n v="2"/>
  </r>
  <r>
    <x v="28"/>
    <x v="4"/>
    <x v="26"/>
    <x v="0"/>
    <n v="1"/>
    <n v="2"/>
  </r>
  <r>
    <x v="40"/>
    <x v="47"/>
    <x v="38"/>
    <x v="0"/>
    <n v="4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3A26CB-9305-47F7-9F39-3D59C5AC92CE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:F104" firstHeaderRow="1" firstDataRow="2" firstDataCol="4"/>
  <pivotFields count="6">
    <pivotField axis="axisRow" compact="0" outline="0" showAll="0">
      <items count="42">
        <item x="0"/>
        <item x="1"/>
        <item x="2"/>
        <item x="3"/>
        <item x="4"/>
        <item x="39"/>
        <item x="5"/>
        <item x="6"/>
        <item x="7"/>
        <item x="8"/>
        <item x="9"/>
        <item x="10"/>
        <item x="11"/>
        <item x="12"/>
        <item x="13"/>
        <item x="14"/>
        <item x="33"/>
        <item x="15"/>
        <item x="34"/>
        <item x="16"/>
        <item x="17"/>
        <item x="18"/>
        <item x="19"/>
        <item x="20"/>
        <item x="21"/>
        <item x="22"/>
        <item x="23"/>
        <item x="35"/>
        <item x="24"/>
        <item x="36"/>
        <item x="25"/>
        <item x="26"/>
        <item x="27"/>
        <item x="28"/>
        <item x="37"/>
        <item x="29"/>
        <item x="38"/>
        <item x="40"/>
        <item x="30"/>
        <item x="31"/>
        <item x="32"/>
        <item t="default"/>
      </items>
    </pivotField>
    <pivotField axis="axisRow" compact="0" outline="0" showAll="0" defaultSubtotal="0">
      <items count="48">
        <item x="4"/>
        <item x="5"/>
        <item x="6"/>
        <item x="23"/>
        <item x="7"/>
        <item x="17"/>
        <item x="1"/>
        <item x="24"/>
        <item x="8"/>
        <item x="0"/>
        <item x="9"/>
        <item x="12"/>
        <item x="26"/>
        <item x="25"/>
        <item x="27"/>
        <item x="28"/>
        <item x="16"/>
        <item x="10"/>
        <item x="3"/>
        <item x="29"/>
        <item x="30"/>
        <item x="11"/>
        <item x="31"/>
        <item x="32"/>
        <item x="33"/>
        <item x="34"/>
        <item x="2"/>
        <item x="14"/>
        <item x="21"/>
        <item x="22"/>
        <item x="18"/>
        <item x="46"/>
        <item x="13"/>
        <item x="40"/>
        <item x="41"/>
        <item x="20"/>
        <item x="42"/>
        <item x="19"/>
        <item x="43"/>
        <item x="35"/>
        <item x="15"/>
        <item x="36"/>
        <item x="44"/>
        <item x="45"/>
        <item x="47"/>
        <item x="37"/>
        <item x="38"/>
        <item x="39"/>
      </items>
    </pivotField>
    <pivotField axis="axisRow" compact="0" outline="0" showAll="0" defaultSubtotal="0">
      <items count="39">
        <item x="15"/>
        <item x="1"/>
        <item x="8"/>
        <item x="7"/>
        <item x="10"/>
        <item x="12"/>
        <item x="11"/>
        <item x="2"/>
        <item x="3"/>
        <item x="18"/>
        <item x="37"/>
        <item x="5"/>
        <item x="6"/>
        <item x="13"/>
        <item x="31"/>
        <item x="21"/>
        <item x="0"/>
        <item x="32"/>
        <item x="17"/>
        <item x="25"/>
        <item x="9"/>
        <item x="19"/>
        <item x="33"/>
        <item x="27"/>
        <item x="28"/>
        <item x="22"/>
        <item x="34"/>
        <item x="23"/>
        <item x="14"/>
        <item x="20"/>
        <item x="24"/>
        <item x="4"/>
        <item x="26"/>
        <item x="16"/>
        <item x="35"/>
        <item x="36"/>
        <item x="38"/>
        <item x="29"/>
        <item x="30"/>
      </items>
    </pivotField>
    <pivotField axis="axisRow" compact="0" outline="0" showAll="0">
      <items count="2">
        <item x="0"/>
        <item t="default"/>
      </items>
    </pivotField>
    <pivotField dataField="1" compact="0" outline="0" showAll="0"/>
    <pivotField dataField="1" compact="0" outline="0" showAll="0"/>
  </pivotFields>
  <rowFields count="4">
    <field x="0"/>
    <field x="1"/>
    <field x="2"/>
    <field x="3"/>
  </rowFields>
  <rowItems count="102">
    <i>
      <x/>
      <x v="9"/>
      <x v="16"/>
      <x/>
    </i>
    <i t="default">
      <x/>
    </i>
    <i>
      <x v="1"/>
      <x v="6"/>
      <x v="1"/>
      <x/>
    </i>
    <i t="default">
      <x v="1"/>
    </i>
    <i>
      <x v="2"/>
      <x v="26"/>
      <x v="7"/>
      <x/>
    </i>
    <i t="default">
      <x v="2"/>
    </i>
    <i>
      <x v="3"/>
      <x v="18"/>
      <x v="8"/>
      <x/>
    </i>
    <i t="default">
      <x v="3"/>
    </i>
    <i>
      <x v="4"/>
      <x/>
      <x v="31"/>
      <x/>
    </i>
    <i t="default">
      <x v="4"/>
    </i>
    <i>
      <x v="5"/>
      <x v="31"/>
      <x v="10"/>
      <x/>
    </i>
    <i t="default">
      <x v="5"/>
    </i>
    <i>
      <x v="6"/>
      <x/>
      <x v="11"/>
      <x/>
    </i>
    <i r="1">
      <x v="1"/>
      <x v="11"/>
      <x/>
    </i>
    <i r="1">
      <x v="2"/>
      <x v="11"/>
      <x/>
    </i>
    <i r="1">
      <x v="4"/>
      <x v="11"/>
      <x/>
    </i>
    <i r="1">
      <x v="8"/>
      <x v="11"/>
      <x/>
    </i>
    <i r="1">
      <x v="10"/>
      <x v="11"/>
      <x/>
    </i>
    <i r="1">
      <x v="17"/>
      <x v="11"/>
      <x/>
    </i>
    <i r="1">
      <x v="21"/>
      <x v="11"/>
      <x/>
    </i>
    <i t="default">
      <x v="6"/>
    </i>
    <i>
      <x v="7"/>
      <x v="11"/>
      <x v="12"/>
      <x/>
    </i>
    <i t="default">
      <x v="7"/>
    </i>
    <i>
      <x v="8"/>
      <x/>
      <x v="3"/>
      <x/>
    </i>
    <i t="default">
      <x v="8"/>
    </i>
    <i>
      <x v="9"/>
      <x/>
      <x v="2"/>
      <x/>
    </i>
    <i t="default">
      <x v="9"/>
    </i>
    <i>
      <x v="10"/>
      <x/>
      <x v="20"/>
      <x/>
    </i>
    <i t="default">
      <x v="10"/>
    </i>
    <i>
      <x v="11"/>
      <x/>
      <x v="4"/>
      <x/>
    </i>
    <i t="default">
      <x v="11"/>
    </i>
    <i>
      <x v="12"/>
      <x v="32"/>
      <x v="6"/>
      <x/>
    </i>
    <i t="default">
      <x v="12"/>
    </i>
    <i>
      <x v="13"/>
      <x/>
      <x v="5"/>
      <x/>
    </i>
    <i t="default">
      <x v="13"/>
    </i>
    <i>
      <x v="14"/>
      <x v="27"/>
      <x v="13"/>
      <x/>
    </i>
    <i t="default">
      <x v="14"/>
    </i>
    <i>
      <x v="15"/>
      <x v="40"/>
      <x v="28"/>
      <x/>
    </i>
    <i t="default">
      <x v="15"/>
    </i>
    <i>
      <x v="16"/>
      <x v="33"/>
      <x v="14"/>
      <x/>
    </i>
    <i t="default">
      <x v="16"/>
    </i>
    <i>
      <x v="17"/>
      <x v="16"/>
      <x/>
      <x/>
    </i>
    <i t="default">
      <x v="17"/>
    </i>
    <i>
      <x v="18"/>
      <x v="34"/>
      <x v="17"/>
      <x/>
    </i>
    <i t="default">
      <x v="18"/>
    </i>
    <i>
      <x v="19"/>
      <x v="5"/>
      <x v="33"/>
      <x/>
    </i>
    <i t="default">
      <x v="19"/>
    </i>
    <i>
      <x v="20"/>
      <x/>
      <x v="18"/>
      <x/>
    </i>
    <i r="1">
      <x v="30"/>
      <x v="18"/>
      <x/>
    </i>
    <i t="default">
      <x v="20"/>
    </i>
    <i>
      <x v="21"/>
      <x v="30"/>
      <x v="18"/>
      <x/>
    </i>
    <i t="default">
      <x v="21"/>
    </i>
    <i>
      <x v="22"/>
      <x v="37"/>
      <x v="18"/>
      <x/>
    </i>
    <i t="default">
      <x v="22"/>
    </i>
    <i>
      <x v="23"/>
      <x/>
      <x v="9"/>
      <x/>
    </i>
    <i t="default">
      <x v="23"/>
    </i>
    <i>
      <x v="24"/>
      <x v="35"/>
      <x v="21"/>
      <x/>
    </i>
    <i t="default">
      <x v="24"/>
    </i>
    <i>
      <x v="25"/>
      <x v="28"/>
      <x v="29"/>
      <x/>
    </i>
    <i t="default">
      <x v="25"/>
    </i>
    <i>
      <x v="26"/>
      <x v="29"/>
      <x v="15"/>
      <x/>
    </i>
    <i t="default">
      <x v="26"/>
    </i>
    <i>
      <x v="27"/>
      <x v="36"/>
      <x v="22"/>
      <x/>
    </i>
    <i t="default">
      <x v="27"/>
    </i>
    <i>
      <x v="28"/>
      <x v="3"/>
      <x v="25"/>
      <x/>
    </i>
    <i r="1">
      <x v="7"/>
      <x v="25"/>
      <x/>
    </i>
    <i r="1">
      <x v="12"/>
      <x v="25"/>
      <x/>
    </i>
    <i r="1">
      <x v="13"/>
      <x v="25"/>
      <x/>
    </i>
    <i r="1">
      <x v="14"/>
      <x v="25"/>
      <x/>
    </i>
    <i r="1">
      <x v="15"/>
      <x v="25"/>
      <x/>
    </i>
    <i r="1">
      <x v="19"/>
      <x v="25"/>
      <x/>
    </i>
    <i r="1">
      <x v="20"/>
      <x v="25"/>
      <x/>
    </i>
    <i r="1">
      <x v="22"/>
      <x v="25"/>
      <x/>
    </i>
    <i r="1">
      <x v="23"/>
      <x v="25"/>
      <x/>
    </i>
    <i r="1">
      <x v="24"/>
      <x v="25"/>
      <x/>
    </i>
    <i r="1">
      <x v="25"/>
      <x v="25"/>
      <x/>
    </i>
    <i t="default">
      <x v="28"/>
    </i>
    <i>
      <x v="29"/>
      <x v="38"/>
      <x v="26"/>
      <x/>
    </i>
    <i t="default">
      <x v="29"/>
    </i>
    <i>
      <x v="30"/>
      <x v="39"/>
      <x v="27"/>
      <x/>
    </i>
    <i t="default">
      <x v="30"/>
    </i>
    <i>
      <x v="31"/>
      <x/>
      <x v="30"/>
      <x/>
    </i>
    <i t="default">
      <x v="31"/>
    </i>
    <i>
      <x v="32"/>
      <x v="41"/>
      <x v="19"/>
      <x/>
    </i>
    <i t="default">
      <x v="32"/>
    </i>
    <i>
      <x v="33"/>
      <x/>
      <x v="32"/>
      <x/>
    </i>
    <i t="default">
      <x v="33"/>
    </i>
    <i>
      <x v="34"/>
      <x v="42"/>
      <x v="34"/>
      <x/>
    </i>
    <i t="default">
      <x v="34"/>
    </i>
    <i>
      <x v="35"/>
      <x/>
      <x v="23"/>
      <x/>
    </i>
    <i t="default">
      <x v="35"/>
    </i>
    <i>
      <x v="36"/>
      <x v="43"/>
      <x v="35"/>
      <x/>
    </i>
    <i t="default">
      <x v="36"/>
    </i>
    <i>
      <x v="37"/>
      <x v="44"/>
      <x v="36"/>
      <x/>
    </i>
    <i t="default">
      <x v="37"/>
    </i>
    <i>
      <x v="38"/>
      <x v="45"/>
      <x v="24"/>
      <x/>
    </i>
    <i t="default">
      <x v="38"/>
    </i>
    <i>
      <x v="39"/>
      <x v="46"/>
      <x v="37"/>
      <x/>
    </i>
    <i t="default">
      <x v="39"/>
    </i>
    <i>
      <x v="40"/>
      <x v="47"/>
      <x v="38"/>
      <x/>
    </i>
    <i t="default">
      <x v="4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ty" fld="4" baseField="0" baseItem="0"/>
    <dataField name="Sum of Total Qty" fld="5" baseField="0" baseItem="0"/>
  </dataFields>
  <formats count="2">
    <format dxfId="1">
      <pivotArea dataOnly="0" outline="0" fieldPosition="0">
        <references count="1">
          <reference field="0" count="0" defaultSubtotal="1"/>
        </references>
      </pivotArea>
    </format>
    <format dxfId="0">
      <pivotArea dataOnly="0" outline="0" fieldPosition="0">
        <references count="1">
          <reference field="0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Qty" tableColumnId="1"/>
      <queryTableField id="2" name="Value" tableColumnId="2"/>
      <queryTableField id="3" name="Device" tableColumnId="3"/>
      <queryTableField id="4" name="Package" tableColumnId="4"/>
      <queryTableField id="5" name="Parts" tableColumnId="5"/>
      <queryTableField id="6" name="Description" tableColumnId="6"/>
      <queryTableField id="7" name="PROD_ID" tableColumnId="7"/>
      <queryTableField id="8" name="SF_ID" tableColumnId="8"/>
      <queryTableField id="9" name="SF_SKU" tableColumnId="9"/>
      <queryTableField id="10" name="VALUE.1" tableColumnId="10"/>
      <queryTableField id="11" name="Column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100-000001000000}" autoFormatId="16" applyNumberFormats="0" applyBorderFormats="0" applyFontFormats="0" applyPatternFormats="0" applyAlignmentFormats="0" applyWidthHeightFormats="0">
  <queryTableRefresh nextId="11">
    <queryTableFields count="10">
      <queryTableField id="1" name="Qty" tableColumnId="1"/>
      <queryTableField id="2" name="Value" tableColumnId="2"/>
      <queryTableField id="3" name="Device" tableColumnId="3"/>
      <queryTableField id="4" name="Package" tableColumnId="4"/>
      <queryTableField id="5" name="Parts" tableColumnId="5"/>
      <queryTableField id="6" name="Description" tableColumnId="6"/>
      <queryTableField id="7" name="PROD_ID" tableColumnId="7"/>
      <queryTableField id="8" name="SF_SKU" tableColumnId="8"/>
      <queryTableField id="9" name="VALUE.1" tableColumnId="9"/>
      <queryTableField id="10" name="Column1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200-000002000000}" autoFormatId="16" applyNumberFormats="0" applyBorderFormats="0" applyFontFormats="0" applyPatternFormats="0" applyAlignmentFormats="0" applyWidthHeightFormats="0">
  <queryTableRefresh nextId="10">
    <queryTableFields count="9">
      <queryTableField id="1" name="Qty" tableColumnId="1"/>
      <queryTableField id="2" name="Value" tableColumnId="2"/>
      <queryTableField id="3" name="Device" tableColumnId="3"/>
      <queryTableField id="4" name="Package" tableColumnId="4"/>
      <queryTableField id="5" name="Parts" tableColumnId="5"/>
      <queryTableField id="6" name="Description" tableColumnId="6"/>
      <queryTableField id="7" name="PROD_ID" tableColumnId="7"/>
      <queryTableField id="8" name="SF_SKU" tableColumnId="8"/>
      <queryTableField id="9" name="Column1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ayer_1" displayName="Layer_1" ref="A1:K51" tableType="queryTable" totalsRowShown="0">
  <autoFilter ref="A1:K51" xr:uid="{00000000-0009-0000-0100-000001000000}"/>
  <tableColumns count="11">
    <tableColumn id="1" xr3:uid="{00000000-0010-0000-0000-000001000000}" uniqueName="1" name="Qty" queryTableFieldId="1"/>
    <tableColumn id="2" xr3:uid="{00000000-0010-0000-0000-000002000000}" uniqueName="2" name="Value" queryTableFieldId="2" dataDxfId="37"/>
    <tableColumn id="3" xr3:uid="{00000000-0010-0000-0000-000003000000}" uniqueName="3" name="Device" queryTableFieldId="3" dataDxfId="36"/>
    <tableColumn id="4" xr3:uid="{00000000-0010-0000-0000-000004000000}" uniqueName="4" name="Package" queryTableFieldId="4" dataDxfId="35"/>
    <tableColumn id="5" xr3:uid="{00000000-0010-0000-0000-000005000000}" uniqueName="5" name="Parts" queryTableFieldId="5" dataDxfId="34"/>
    <tableColumn id="6" xr3:uid="{00000000-0010-0000-0000-000006000000}" uniqueName="6" name="Description" queryTableFieldId="6" dataDxfId="33"/>
    <tableColumn id="7" xr3:uid="{00000000-0010-0000-0000-000007000000}" uniqueName="7" name="PROD_ID" queryTableFieldId="7" dataDxfId="32"/>
    <tableColumn id="8" xr3:uid="{00000000-0010-0000-0000-000008000000}" uniqueName="8" name="SF_ID" queryTableFieldId="8" dataDxfId="31"/>
    <tableColumn id="9" xr3:uid="{00000000-0010-0000-0000-000009000000}" uniqueName="9" name="SF_SKU" queryTableFieldId="9" dataDxfId="30"/>
    <tableColumn id="10" xr3:uid="{00000000-0010-0000-0000-00000A000000}" uniqueName="10" name="VALUE.1" queryTableFieldId="10" dataDxfId="29"/>
    <tableColumn id="11" xr3:uid="{00000000-0010-0000-0000-00000B000000}" uniqueName="11" name="Column1" queryTableFieldId="11" dataDxfId="28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ayer_3" displayName="Layer_3" ref="A1:J24" tableType="queryTable" totalsRowShown="0">
  <autoFilter ref="A1:J24" xr:uid="{00000000-0009-0000-0100-000002000000}"/>
  <tableColumns count="10">
    <tableColumn id="1" xr3:uid="{00000000-0010-0000-0100-000001000000}" uniqueName="1" name="Qty" queryTableFieldId="1"/>
    <tableColumn id="2" xr3:uid="{00000000-0010-0000-0100-000002000000}" uniqueName="2" name="Value" queryTableFieldId="2" dataDxfId="27"/>
    <tableColumn id="3" xr3:uid="{00000000-0010-0000-0100-000003000000}" uniqueName="3" name="Device" queryTableFieldId="3" dataDxfId="26"/>
    <tableColumn id="4" xr3:uid="{00000000-0010-0000-0100-000004000000}" uniqueName="4" name="Package" queryTableFieldId="4" dataDxfId="25"/>
    <tableColumn id="5" xr3:uid="{00000000-0010-0000-0100-000005000000}" uniqueName="5" name="Parts" queryTableFieldId="5" dataDxfId="24"/>
    <tableColumn id="6" xr3:uid="{00000000-0010-0000-0100-000006000000}" uniqueName="6" name="Description" queryTableFieldId="6" dataDxfId="23"/>
    <tableColumn id="7" xr3:uid="{00000000-0010-0000-0100-000007000000}" uniqueName="7" name="PROD_ID" queryTableFieldId="7" dataDxfId="22"/>
    <tableColumn id="8" xr3:uid="{00000000-0010-0000-0100-000008000000}" uniqueName="8" name="SF_SKU" queryTableFieldId="8" dataDxfId="21"/>
    <tableColumn id="9" xr3:uid="{00000000-0010-0000-0100-000009000000}" uniqueName="9" name="VALUE.1" queryTableFieldId="9" dataDxfId="20"/>
    <tableColumn id="10" xr3:uid="{00000000-0010-0000-0100-00000A000000}" uniqueName="10" name="Column1" queryTableFieldId="10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Layer_4" displayName="Layer_4" ref="A1:I16" tableType="queryTable" totalsRowShown="0">
  <autoFilter ref="A1:I16" xr:uid="{00000000-0009-0000-0100-000003000000}"/>
  <tableColumns count="9">
    <tableColumn id="1" xr3:uid="{00000000-0010-0000-0200-000001000000}" uniqueName="1" name="Qty" queryTableFieldId="1"/>
    <tableColumn id="2" xr3:uid="{00000000-0010-0000-0200-000002000000}" uniqueName="2" name="Value" queryTableFieldId="2" dataDxfId="18"/>
    <tableColumn id="3" xr3:uid="{00000000-0010-0000-0200-000003000000}" uniqueName="3" name="Device" queryTableFieldId="3" dataDxfId="17"/>
    <tableColumn id="4" xr3:uid="{00000000-0010-0000-0200-000004000000}" uniqueName="4" name="Package" queryTableFieldId="4" dataDxfId="16"/>
    <tableColumn id="5" xr3:uid="{00000000-0010-0000-0200-000005000000}" uniqueName="5" name="Parts" queryTableFieldId="5" dataDxfId="15"/>
    <tableColumn id="6" xr3:uid="{00000000-0010-0000-0200-000006000000}" uniqueName="6" name="Description" queryTableFieldId="6" dataDxfId="14"/>
    <tableColumn id="7" xr3:uid="{00000000-0010-0000-0200-000007000000}" uniqueName="7" name="PROD_ID" queryTableFieldId="7" dataDxfId="13"/>
    <tableColumn id="8" xr3:uid="{00000000-0010-0000-0200-000008000000}" uniqueName="8" name="SF_SKU" queryTableFieldId="8" dataDxfId="12"/>
    <tableColumn id="9" xr3:uid="{00000000-0010-0000-0200-000009000000}" uniqueName="9" name="Column1" queryTableFieldId="9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51"/>
  <sheetViews>
    <sheetView workbookViewId="0">
      <selection activeCell="B2" sqref="B2:B51"/>
    </sheetView>
  </sheetViews>
  <sheetFormatPr defaultRowHeight="15" x14ac:dyDescent="0.25"/>
  <cols>
    <col min="1" max="1" width="6.42578125" bestFit="1" customWidth="1"/>
    <col min="2" max="2" width="25.140625" bestFit="1" customWidth="1"/>
    <col min="3" max="3" width="35.7109375" bestFit="1" customWidth="1"/>
    <col min="4" max="4" width="35.85546875" bestFit="1" customWidth="1"/>
    <col min="5" max="6" width="81.140625" bestFit="1" customWidth="1"/>
    <col min="7" max="7" width="12.5703125" bestFit="1" customWidth="1"/>
    <col min="8" max="8" width="10.140625" bestFit="1" customWidth="1"/>
    <col min="9" max="9" width="11.42578125" bestFit="1" customWidth="1"/>
    <col min="10" max="10" width="16.140625" bestFit="1" customWidth="1"/>
    <col min="11" max="11" width="11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3</v>
      </c>
      <c r="B2" s="1" t="s">
        <v>11</v>
      </c>
      <c r="C2" s="1" t="s">
        <v>12</v>
      </c>
      <c r="D2" s="1" t="s">
        <v>13</v>
      </c>
      <c r="E2" s="1" t="s">
        <v>14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</row>
    <row r="3" spans="1:11" x14ac:dyDescent="0.25">
      <c r="A3">
        <v>1</v>
      </c>
      <c r="B3" s="1" t="s">
        <v>11</v>
      </c>
      <c r="C3" s="1" t="s">
        <v>15</v>
      </c>
      <c r="D3" s="1" t="s">
        <v>16</v>
      </c>
      <c r="E3" s="1" t="s">
        <v>17</v>
      </c>
      <c r="F3" s="1" t="s">
        <v>18</v>
      </c>
      <c r="G3" s="1" t="s">
        <v>11</v>
      </c>
      <c r="H3" s="1" t="s">
        <v>11</v>
      </c>
      <c r="I3" s="1" t="s">
        <v>11</v>
      </c>
      <c r="J3" s="1" t="s">
        <v>11</v>
      </c>
      <c r="K3" s="1" t="s">
        <v>11</v>
      </c>
    </row>
    <row r="4" spans="1:11" x14ac:dyDescent="0.25">
      <c r="A4">
        <v>1</v>
      </c>
      <c r="B4" s="1" t="s">
        <v>11</v>
      </c>
      <c r="C4" s="1" t="s">
        <v>19</v>
      </c>
      <c r="D4" s="1" t="s">
        <v>20</v>
      </c>
      <c r="E4" s="1" t="s">
        <v>21</v>
      </c>
      <c r="F4" s="1" t="s">
        <v>18</v>
      </c>
      <c r="G4" s="1" t="s">
        <v>11</v>
      </c>
      <c r="H4" s="1" t="s">
        <v>11</v>
      </c>
      <c r="I4" s="1" t="s">
        <v>11</v>
      </c>
      <c r="J4" s="1" t="s">
        <v>11</v>
      </c>
      <c r="K4" s="1" t="s">
        <v>11</v>
      </c>
    </row>
    <row r="5" spans="1:11" x14ac:dyDescent="0.25">
      <c r="A5">
        <v>1</v>
      </c>
      <c r="B5" s="1" t="s">
        <v>11</v>
      </c>
      <c r="C5" s="1" t="s">
        <v>22</v>
      </c>
      <c r="D5" s="1" t="s">
        <v>23</v>
      </c>
      <c r="E5" s="1" t="s">
        <v>24</v>
      </c>
      <c r="F5" s="1" t="s">
        <v>18</v>
      </c>
      <c r="G5" s="1" t="s">
        <v>11</v>
      </c>
      <c r="H5" s="1" t="s">
        <v>25</v>
      </c>
      <c r="I5" s="1" t="s">
        <v>11</v>
      </c>
      <c r="J5" s="1" t="s">
        <v>11</v>
      </c>
      <c r="K5" s="1" t="s">
        <v>11</v>
      </c>
    </row>
    <row r="6" spans="1:11" x14ac:dyDescent="0.25">
      <c r="A6">
        <v>1</v>
      </c>
      <c r="B6" s="1" t="s">
        <v>11</v>
      </c>
      <c r="C6" s="1" t="s">
        <v>26</v>
      </c>
      <c r="D6" s="1" t="s">
        <v>27</v>
      </c>
      <c r="E6" s="1" t="s">
        <v>28</v>
      </c>
      <c r="F6" s="1" t="s">
        <v>18</v>
      </c>
      <c r="G6" s="1" t="s">
        <v>11</v>
      </c>
      <c r="H6" s="1" t="s">
        <v>11</v>
      </c>
      <c r="I6" s="1" t="s">
        <v>11</v>
      </c>
      <c r="J6" s="1" t="s">
        <v>11</v>
      </c>
      <c r="K6" s="1" t="s">
        <v>11</v>
      </c>
    </row>
    <row r="7" spans="1:11" x14ac:dyDescent="0.25">
      <c r="A7">
        <v>1</v>
      </c>
      <c r="B7" s="1" t="s">
        <v>11</v>
      </c>
      <c r="C7" s="1" t="s">
        <v>29</v>
      </c>
      <c r="D7" s="1" t="s">
        <v>30</v>
      </c>
      <c r="E7" s="1" t="s">
        <v>31</v>
      </c>
      <c r="F7" s="1" t="s">
        <v>18</v>
      </c>
      <c r="G7" s="1" t="s">
        <v>11</v>
      </c>
      <c r="H7" s="1" t="s">
        <v>11</v>
      </c>
      <c r="I7" s="1" t="s">
        <v>11</v>
      </c>
      <c r="J7" s="1" t="s">
        <v>11</v>
      </c>
      <c r="K7" s="1" t="s">
        <v>11</v>
      </c>
    </row>
    <row r="8" spans="1:11" x14ac:dyDescent="0.25">
      <c r="A8">
        <v>36</v>
      </c>
      <c r="B8" s="1" t="s">
        <v>11</v>
      </c>
      <c r="C8" s="1" t="s">
        <v>32</v>
      </c>
      <c r="D8" s="1" t="s">
        <v>33</v>
      </c>
      <c r="E8" s="1" t="s">
        <v>34</v>
      </c>
      <c r="F8" s="1" t="s">
        <v>35</v>
      </c>
      <c r="G8" s="1" t="s">
        <v>36</v>
      </c>
      <c r="H8" s="1" t="s">
        <v>37</v>
      </c>
      <c r="I8" s="1" t="s">
        <v>11</v>
      </c>
      <c r="J8" s="1" t="s">
        <v>11</v>
      </c>
      <c r="K8" s="1" t="s">
        <v>11</v>
      </c>
    </row>
    <row r="9" spans="1:11" x14ac:dyDescent="0.25">
      <c r="A9">
        <v>2</v>
      </c>
      <c r="B9" s="1" t="s">
        <v>11</v>
      </c>
      <c r="C9" s="1" t="s">
        <v>38</v>
      </c>
      <c r="D9" s="1" t="s">
        <v>39</v>
      </c>
      <c r="E9" s="1" t="s">
        <v>40</v>
      </c>
      <c r="F9" s="1" t="s">
        <v>11</v>
      </c>
      <c r="G9" s="1" t="s">
        <v>11</v>
      </c>
      <c r="H9" s="1" t="s">
        <v>11</v>
      </c>
      <c r="I9" s="1" t="s">
        <v>11</v>
      </c>
      <c r="J9" s="1" t="s">
        <v>11</v>
      </c>
      <c r="K9" s="1" t="s">
        <v>11</v>
      </c>
    </row>
    <row r="10" spans="1:11" x14ac:dyDescent="0.25">
      <c r="A10">
        <v>2</v>
      </c>
      <c r="B10" s="1" t="s">
        <v>11</v>
      </c>
      <c r="C10" s="1" t="s">
        <v>41</v>
      </c>
      <c r="D10" s="1" t="s">
        <v>42</v>
      </c>
      <c r="E10" s="1" t="s">
        <v>43</v>
      </c>
      <c r="F10" s="1" t="s">
        <v>44</v>
      </c>
      <c r="G10" s="1" t="s">
        <v>45</v>
      </c>
      <c r="H10" s="1" t="s">
        <v>11</v>
      </c>
      <c r="I10" s="1" t="s">
        <v>46</v>
      </c>
      <c r="J10" s="1" t="s">
        <v>11</v>
      </c>
      <c r="K10" s="1" t="s">
        <v>11</v>
      </c>
    </row>
    <row r="11" spans="1:11" x14ac:dyDescent="0.25">
      <c r="A11">
        <v>2</v>
      </c>
      <c r="B11" s="1" t="s">
        <v>11</v>
      </c>
      <c r="C11" s="1" t="s">
        <v>47</v>
      </c>
      <c r="D11" s="1" t="s">
        <v>48</v>
      </c>
      <c r="E11" s="1" t="s">
        <v>49</v>
      </c>
      <c r="F11" s="1" t="s">
        <v>11</v>
      </c>
      <c r="G11" s="1" t="s">
        <v>11</v>
      </c>
      <c r="H11" s="1" t="s">
        <v>11</v>
      </c>
      <c r="I11" s="1" t="s">
        <v>11</v>
      </c>
      <c r="J11" s="1" t="s">
        <v>11</v>
      </c>
      <c r="K11" s="1" t="s">
        <v>11</v>
      </c>
    </row>
    <row r="12" spans="1:11" x14ac:dyDescent="0.25">
      <c r="A12">
        <v>7</v>
      </c>
      <c r="B12" s="1" t="s">
        <v>50</v>
      </c>
      <c r="C12" s="1" t="s">
        <v>51</v>
      </c>
      <c r="D12" s="1" t="s">
        <v>52</v>
      </c>
      <c r="E12" s="1" t="s">
        <v>53</v>
      </c>
      <c r="F12" s="1" t="s">
        <v>11</v>
      </c>
      <c r="G12" s="1" t="s">
        <v>11</v>
      </c>
      <c r="H12" s="1" t="s">
        <v>11</v>
      </c>
      <c r="I12" s="1" t="s">
        <v>11</v>
      </c>
      <c r="J12" s="1" t="s">
        <v>11</v>
      </c>
      <c r="K12" s="1" t="s">
        <v>11</v>
      </c>
    </row>
    <row r="13" spans="1:11" x14ac:dyDescent="0.25">
      <c r="A13">
        <v>4</v>
      </c>
      <c r="B13" s="1" t="s">
        <v>54</v>
      </c>
      <c r="C13" s="1" t="s">
        <v>51</v>
      </c>
      <c r="D13" s="1" t="s">
        <v>52</v>
      </c>
      <c r="E13" s="1" t="s">
        <v>55</v>
      </c>
      <c r="F13" s="1" t="s">
        <v>11</v>
      </c>
      <c r="G13" s="1" t="s">
        <v>11</v>
      </c>
      <c r="H13" s="1" t="s">
        <v>11</v>
      </c>
      <c r="I13" s="1" t="s">
        <v>11</v>
      </c>
      <c r="J13" s="1" t="s">
        <v>11</v>
      </c>
      <c r="K13" s="1" t="s">
        <v>11</v>
      </c>
    </row>
    <row r="14" spans="1:11" x14ac:dyDescent="0.25">
      <c r="A14">
        <v>16</v>
      </c>
      <c r="B14" s="1" t="s">
        <v>56</v>
      </c>
      <c r="C14" s="1" t="s">
        <v>57</v>
      </c>
      <c r="D14" s="1" t="s">
        <v>58</v>
      </c>
      <c r="E14" s="1" t="s">
        <v>59</v>
      </c>
      <c r="F14" s="1" t="s">
        <v>11</v>
      </c>
      <c r="G14" s="1" t="s">
        <v>11</v>
      </c>
      <c r="H14" s="1" t="s">
        <v>11</v>
      </c>
      <c r="I14" s="1" t="s">
        <v>11</v>
      </c>
      <c r="J14" s="1" t="s">
        <v>11</v>
      </c>
      <c r="K14" s="1" t="s">
        <v>11</v>
      </c>
    </row>
    <row r="15" spans="1:11" x14ac:dyDescent="0.25">
      <c r="A15">
        <v>3</v>
      </c>
      <c r="B15" s="1" t="s">
        <v>60</v>
      </c>
      <c r="C15" s="1" t="s">
        <v>51</v>
      </c>
      <c r="D15" s="1" t="s">
        <v>52</v>
      </c>
      <c r="E15" s="1" t="s">
        <v>61</v>
      </c>
      <c r="F15" s="1" t="s">
        <v>11</v>
      </c>
      <c r="G15" s="1" t="s">
        <v>11</v>
      </c>
      <c r="H15" s="1" t="s">
        <v>11</v>
      </c>
      <c r="I15" s="1" t="s">
        <v>11</v>
      </c>
      <c r="J15" s="1" t="s">
        <v>11</v>
      </c>
      <c r="K15" s="1" t="s">
        <v>11</v>
      </c>
    </row>
    <row r="16" spans="1:11" x14ac:dyDescent="0.25">
      <c r="A16">
        <v>2</v>
      </c>
      <c r="B16" s="1" t="s">
        <v>62</v>
      </c>
      <c r="C16" s="1" t="s">
        <v>63</v>
      </c>
      <c r="D16" s="1" t="s">
        <v>64</v>
      </c>
      <c r="E16" s="1" t="s">
        <v>65</v>
      </c>
      <c r="F16" s="1" t="s">
        <v>11</v>
      </c>
      <c r="G16" s="1" t="s">
        <v>11</v>
      </c>
      <c r="H16" s="1" t="s">
        <v>11</v>
      </c>
      <c r="I16" s="1" t="s">
        <v>11</v>
      </c>
      <c r="J16" s="1" t="s">
        <v>11</v>
      </c>
      <c r="K16" s="1" t="s">
        <v>11</v>
      </c>
    </row>
    <row r="17" spans="1:11" x14ac:dyDescent="0.25">
      <c r="A17">
        <v>12</v>
      </c>
      <c r="B17" s="1" t="s">
        <v>66</v>
      </c>
      <c r="C17" s="1" t="s">
        <v>66</v>
      </c>
      <c r="D17" s="1" t="s">
        <v>66</v>
      </c>
      <c r="E17" s="1" t="s">
        <v>67</v>
      </c>
      <c r="F17" s="1" t="s">
        <v>11</v>
      </c>
      <c r="G17" s="1" t="s">
        <v>11</v>
      </c>
      <c r="H17" s="1" t="s">
        <v>11</v>
      </c>
      <c r="I17" s="1" t="s">
        <v>11</v>
      </c>
      <c r="J17" s="1" t="s">
        <v>11</v>
      </c>
      <c r="K17" s="1" t="s">
        <v>11</v>
      </c>
    </row>
    <row r="18" spans="1:11" x14ac:dyDescent="0.25">
      <c r="A18">
        <v>29</v>
      </c>
      <c r="B18" s="1" t="s">
        <v>68</v>
      </c>
      <c r="C18" s="1" t="s">
        <v>57</v>
      </c>
      <c r="D18" s="1" t="s">
        <v>58</v>
      </c>
      <c r="E18" s="1" t="s">
        <v>69</v>
      </c>
      <c r="F18" s="1" t="s">
        <v>11</v>
      </c>
      <c r="G18" s="1" t="s">
        <v>11</v>
      </c>
      <c r="H18" s="1" t="s">
        <v>11</v>
      </c>
      <c r="I18" s="1" t="s">
        <v>11</v>
      </c>
      <c r="J18" s="1" t="s">
        <v>11</v>
      </c>
      <c r="K18" s="1" t="s">
        <v>11</v>
      </c>
    </row>
    <row r="19" spans="1:11" x14ac:dyDescent="0.25">
      <c r="A19">
        <v>14</v>
      </c>
      <c r="B19" s="1" t="s">
        <v>70</v>
      </c>
      <c r="C19" s="1" t="s">
        <v>51</v>
      </c>
      <c r="D19" s="1" t="s">
        <v>52</v>
      </c>
      <c r="E19" s="1" t="s">
        <v>71</v>
      </c>
      <c r="F19" s="1" t="s">
        <v>11</v>
      </c>
      <c r="G19" s="1" t="s">
        <v>11</v>
      </c>
      <c r="H19" s="1" t="s">
        <v>11</v>
      </c>
      <c r="I19" s="1" t="s">
        <v>11</v>
      </c>
      <c r="J19" s="1" t="s">
        <v>11</v>
      </c>
      <c r="K19" s="1" t="s">
        <v>11</v>
      </c>
    </row>
    <row r="20" spans="1:11" x14ac:dyDescent="0.25">
      <c r="A20">
        <v>2</v>
      </c>
      <c r="B20" s="1" t="s">
        <v>72</v>
      </c>
      <c r="C20" s="1" t="s">
        <v>73</v>
      </c>
      <c r="D20" s="1" t="s">
        <v>74</v>
      </c>
      <c r="E20" s="1" t="s">
        <v>75</v>
      </c>
      <c r="F20" s="1" t="s">
        <v>76</v>
      </c>
      <c r="G20" s="1" t="s">
        <v>77</v>
      </c>
      <c r="H20" s="1" t="s">
        <v>11</v>
      </c>
      <c r="I20" s="1" t="s">
        <v>11</v>
      </c>
      <c r="J20" s="1" t="s">
        <v>78</v>
      </c>
      <c r="K20" s="1" t="s">
        <v>11</v>
      </c>
    </row>
    <row r="21" spans="1:11" x14ac:dyDescent="0.25">
      <c r="A21">
        <v>2</v>
      </c>
      <c r="B21" s="1" t="s">
        <v>79</v>
      </c>
      <c r="C21" s="1" t="s">
        <v>51</v>
      </c>
      <c r="D21" s="1" t="s">
        <v>52</v>
      </c>
      <c r="E21" s="1" t="s">
        <v>80</v>
      </c>
      <c r="F21" s="1" t="s">
        <v>11</v>
      </c>
      <c r="G21" s="1" t="s">
        <v>11</v>
      </c>
      <c r="H21" s="1" t="s">
        <v>11</v>
      </c>
      <c r="I21" s="1" t="s">
        <v>11</v>
      </c>
      <c r="J21" s="1" t="s">
        <v>11</v>
      </c>
      <c r="K21" s="1" t="s">
        <v>11</v>
      </c>
    </row>
    <row r="22" spans="1:11" x14ac:dyDescent="0.25">
      <c r="A22">
        <v>2</v>
      </c>
      <c r="B22" s="1" t="s">
        <v>81</v>
      </c>
      <c r="C22" s="1" t="s">
        <v>82</v>
      </c>
      <c r="D22" s="1" t="s">
        <v>83</v>
      </c>
      <c r="E22" s="1" t="s">
        <v>84</v>
      </c>
      <c r="F22" s="1" t="s">
        <v>11</v>
      </c>
      <c r="G22" s="1" t="s">
        <v>11</v>
      </c>
      <c r="H22" s="1" t="s">
        <v>11</v>
      </c>
      <c r="I22" s="1" t="s">
        <v>11</v>
      </c>
      <c r="J22" s="1" t="s">
        <v>11</v>
      </c>
      <c r="K22" s="1" t="s">
        <v>11</v>
      </c>
    </row>
    <row r="23" spans="1:11" x14ac:dyDescent="0.25">
      <c r="A23">
        <v>1</v>
      </c>
      <c r="B23" s="1" t="s">
        <v>85</v>
      </c>
      <c r="C23" s="1" t="s">
        <v>57</v>
      </c>
      <c r="D23" s="1" t="s">
        <v>58</v>
      </c>
      <c r="E23" s="1" t="s">
        <v>86</v>
      </c>
      <c r="F23" s="1" t="s">
        <v>11</v>
      </c>
      <c r="G23" s="1" t="s">
        <v>11</v>
      </c>
      <c r="H23" s="1" t="s">
        <v>11</v>
      </c>
      <c r="I23" s="1" t="s">
        <v>11</v>
      </c>
      <c r="J23" s="1" t="s">
        <v>11</v>
      </c>
      <c r="K23" s="1" t="s">
        <v>11</v>
      </c>
    </row>
    <row r="24" spans="1:11" x14ac:dyDescent="0.25">
      <c r="A24">
        <v>1</v>
      </c>
      <c r="B24" s="1" t="s">
        <v>87</v>
      </c>
      <c r="C24" s="1" t="s">
        <v>57</v>
      </c>
      <c r="D24" s="1" t="s">
        <v>58</v>
      </c>
      <c r="E24" s="1" t="s">
        <v>88</v>
      </c>
      <c r="F24" s="1" t="s">
        <v>11</v>
      </c>
      <c r="G24" s="1" t="s">
        <v>11</v>
      </c>
      <c r="H24" s="1" t="s">
        <v>11</v>
      </c>
      <c r="I24" s="1" t="s">
        <v>11</v>
      </c>
      <c r="J24" s="1" t="s">
        <v>11</v>
      </c>
      <c r="K24" s="1" t="s">
        <v>11</v>
      </c>
    </row>
    <row r="25" spans="1:11" x14ac:dyDescent="0.25">
      <c r="A25">
        <v>1</v>
      </c>
      <c r="B25" s="1" t="s">
        <v>89</v>
      </c>
      <c r="C25" s="1" t="s">
        <v>57</v>
      </c>
      <c r="D25" s="1" t="s">
        <v>58</v>
      </c>
      <c r="E25" s="1" t="s">
        <v>90</v>
      </c>
      <c r="F25" s="1" t="s">
        <v>11</v>
      </c>
      <c r="G25" s="1" t="s">
        <v>11</v>
      </c>
      <c r="H25" s="1" t="s">
        <v>11</v>
      </c>
      <c r="I25" s="1" t="s">
        <v>11</v>
      </c>
      <c r="J25" s="1" t="s">
        <v>11</v>
      </c>
      <c r="K25" s="1" t="s">
        <v>11</v>
      </c>
    </row>
    <row r="26" spans="1:11" x14ac:dyDescent="0.25">
      <c r="A26">
        <v>8</v>
      </c>
      <c r="B26" s="1" t="s">
        <v>91</v>
      </c>
      <c r="C26" s="1" t="s">
        <v>57</v>
      </c>
      <c r="D26" s="1" t="s">
        <v>58</v>
      </c>
      <c r="E26" s="1" t="s">
        <v>92</v>
      </c>
      <c r="F26" s="1" t="s">
        <v>11</v>
      </c>
      <c r="G26" s="1" t="s">
        <v>11</v>
      </c>
      <c r="H26" s="1" t="s">
        <v>11</v>
      </c>
      <c r="I26" s="1" t="s">
        <v>11</v>
      </c>
      <c r="J26" s="1" t="s">
        <v>11</v>
      </c>
      <c r="K26" s="1" t="s">
        <v>11</v>
      </c>
    </row>
    <row r="27" spans="1:11" x14ac:dyDescent="0.25">
      <c r="A27">
        <v>2</v>
      </c>
      <c r="B27" s="1" t="s">
        <v>93</v>
      </c>
      <c r="C27" s="1" t="s">
        <v>94</v>
      </c>
      <c r="D27" s="1" t="s">
        <v>95</v>
      </c>
      <c r="E27" s="1" t="s">
        <v>96</v>
      </c>
      <c r="F27" s="1" t="s">
        <v>97</v>
      </c>
      <c r="G27" s="1" t="s">
        <v>98</v>
      </c>
      <c r="H27" s="1" t="s">
        <v>11</v>
      </c>
      <c r="I27" s="1" t="s">
        <v>11</v>
      </c>
      <c r="J27" s="1" t="s">
        <v>93</v>
      </c>
      <c r="K27" s="1" t="s">
        <v>11</v>
      </c>
    </row>
    <row r="28" spans="1:11" x14ac:dyDescent="0.25">
      <c r="A28">
        <v>4</v>
      </c>
      <c r="B28" s="1" t="s">
        <v>99</v>
      </c>
      <c r="C28" s="1" t="s">
        <v>51</v>
      </c>
      <c r="D28" s="1" t="s">
        <v>52</v>
      </c>
      <c r="E28" s="1" t="s">
        <v>100</v>
      </c>
      <c r="F28" s="1" t="s">
        <v>11</v>
      </c>
      <c r="G28" s="1" t="s">
        <v>11</v>
      </c>
      <c r="H28" s="1" t="s">
        <v>11</v>
      </c>
      <c r="I28" s="1" t="s">
        <v>11</v>
      </c>
      <c r="J28" s="1" t="s">
        <v>11</v>
      </c>
      <c r="K28" s="1" t="s">
        <v>11</v>
      </c>
    </row>
    <row r="29" spans="1:11" x14ac:dyDescent="0.25">
      <c r="A29">
        <v>36</v>
      </c>
      <c r="B29" s="1" t="s">
        <v>101</v>
      </c>
      <c r="C29" s="1" t="s">
        <v>101</v>
      </c>
      <c r="D29" s="1" t="s">
        <v>102</v>
      </c>
      <c r="E29" s="1" t="s">
        <v>103</v>
      </c>
      <c r="F29" s="1" t="s">
        <v>11</v>
      </c>
      <c r="G29" s="1" t="s">
        <v>11</v>
      </c>
      <c r="H29" s="1" t="s">
        <v>11</v>
      </c>
      <c r="I29" s="1" t="s">
        <v>11</v>
      </c>
      <c r="J29" s="1" t="s">
        <v>11</v>
      </c>
      <c r="K29" s="1" t="s">
        <v>11</v>
      </c>
    </row>
    <row r="30" spans="1:11" x14ac:dyDescent="0.25">
      <c r="A30">
        <v>3</v>
      </c>
      <c r="B30" s="1" t="s">
        <v>104</v>
      </c>
      <c r="C30" s="1" t="s">
        <v>57</v>
      </c>
      <c r="D30" s="1" t="s">
        <v>58</v>
      </c>
      <c r="E30" s="1" t="s">
        <v>105</v>
      </c>
      <c r="F30" s="1" t="s">
        <v>11</v>
      </c>
      <c r="G30" s="1" t="s">
        <v>11</v>
      </c>
      <c r="H30" s="1" t="s">
        <v>11</v>
      </c>
      <c r="I30" s="1" t="s">
        <v>11</v>
      </c>
      <c r="J30" s="1" t="s">
        <v>11</v>
      </c>
      <c r="K30" s="1" t="s">
        <v>11</v>
      </c>
    </row>
    <row r="31" spans="1:11" x14ac:dyDescent="0.25">
      <c r="A31">
        <v>6</v>
      </c>
      <c r="B31" s="1" t="s">
        <v>106</v>
      </c>
      <c r="C31" s="1" t="s">
        <v>57</v>
      </c>
      <c r="D31" s="1" t="s">
        <v>58</v>
      </c>
      <c r="E31" s="1" t="s">
        <v>107</v>
      </c>
      <c r="F31" s="1" t="s">
        <v>11</v>
      </c>
      <c r="G31" s="1" t="s">
        <v>11</v>
      </c>
      <c r="H31" s="1" t="s">
        <v>11</v>
      </c>
      <c r="I31" s="1" t="s">
        <v>11</v>
      </c>
      <c r="J31" s="1" t="s">
        <v>11</v>
      </c>
      <c r="K31" s="1" t="s">
        <v>11</v>
      </c>
    </row>
    <row r="32" spans="1:11" x14ac:dyDescent="0.25">
      <c r="A32">
        <v>2</v>
      </c>
      <c r="B32" s="1" t="s">
        <v>108</v>
      </c>
      <c r="C32" s="1" t="s">
        <v>51</v>
      </c>
      <c r="D32" s="1" t="s">
        <v>52</v>
      </c>
      <c r="E32" s="1" t="s">
        <v>109</v>
      </c>
      <c r="F32" s="1" t="s">
        <v>11</v>
      </c>
      <c r="G32" s="1" t="s">
        <v>11</v>
      </c>
      <c r="H32" s="1" t="s">
        <v>11</v>
      </c>
      <c r="I32" s="1" t="s">
        <v>11</v>
      </c>
      <c r="J32" s="1" t="s">
        <v>11</v>
      </c>
      <c r="K32" s="1" t="s">
        <v>11</v>
      </c>
    </row>
    <row r="33" spans="1:11" x14ac:dyDescent="0.25">
      <c r="A33">
        <v>1</v>
      </c>
      <c r="B33" s="1" t="s">
        <v>110</v>
      </c>
      <c r="C33" s="1" t="s">
        <v>57</v>
      </c>
      <c r="D33" s="1" t="s">
        <v>58</v>
      </c>
      <c r="E33" s="1" t="s">
        <v>111</v>
      </c>
      <c r="F33" s="1" t="s">
        <v>11</v>
      </c>
      <c r="G33" s="1" t="s">
        <v>11</v>
      </c>
      <c r="H33" s="1" t="s">
        <v>11</v>
      </c>
      <c r="I33" s="1" t="s">
        <v>11</v>
      </c>
      <c r="J33" s="1" t="s">
        <v>11</v>
      </c>
      <c r="K33" s="1" t="s">
        <v>11</v>
      </c>
    </row>
    <row r="34" spans="1:11" x14ac:dyDescent="0.25">
      <c r="A34">
        <v>1</v>
      </c>
      <c r="B34" s="1" t="s">
        <v>112</v>
      </c>
      <c r="C34" s="1" t="s">
        <v>57</v>
      </c>
      <c r="D34" s="1" t="s">
        <v>58</v>
      </c>
      <c r="E34" s="1" t="s">
        <v>113</v>
      </c>
      <c r="F34" s="1" t="s">
        <v>11</v>
      </c>
      <c r="G34" s="1" t="s">
        <v>11</v>
      </c>
      <c r="H34" s="1" t="s">
        <v>11</v>
      </c>
      <c r="I34" s="1" t="s">
        <v>11</v>
      </c>
      <c r="J34" s="1" t="s">
        <v>11</v>
      </c>
      <c r="K34" s="1" t="s">
        <v>11</v>
      </c>
    </row>
    <row r="35" spans="1:11" x14ac:dyDescent="0.25">
      <c r="A35">
        <v>1</v>
      </c>
      <c r="B35" s="1" t="s">
        <v>114</v>
      </c>
      <c r="C35" s="1" t="s">
        <v>57</v>
      </c>
      <c r="D35" s="1" t="s">
        <v>58</v>
      </c>
      <c r="E35" s="1" t="s">
        <v>115</v>
      </c>
      <c r="F35" s="1" t="s">
        <v>11</v>
      </c>
      <c r="G35" s="1" t="s">
        <v>11</v>
      </c>
      <c r="H35" s="1" t="s">
        <v>11</v>
      </c>
      <c r="I35" s="1" t="s">
        <v>11</v>
      </c>
      <c r="J35" s="1" t="s">
        <v>11</v>
      </c>
      <c r="K35" s="1" t="s">
        <v>11</v>
      </c>
    </row>
    <row r="36" spans="1:11" x14ac:dyDescent="0.25">
      <c r="A36">
        <v>1</v>
      </c>
      <c r="B36" s="1" t="s">
        <v>116</v>
      </c>
      <c r="C36" s="1" t="s">
        <v>57</v>
      </c>
      <c r="D36" s="1" t="s">
        <v>58</v>
      </c>
      <c r="E36" s="1" t="s">
        <v>117</v>
      </c>
      <c r="F36" s="1" t="s">
        <v>11</v>
      </c>
      <c r="G36" s="1" t="s">
        <v>11</v>
      </c>
      <c r="H36" s="1" t="s">
        <v>11</v>
      </c>
      <c r="I36" s="1" t="s">
        <v>11</v>
      </c>
      <c r="J36" s="1" t="s">
        <v>11</v>
      </c>
      <c r="K36" s="1" t="s">
        <v>11</v>
      </c>
    </row>
    <row r="37" spans="1:11" x14ac:dyDescent="0.25">
      <c r="A37">
        <v>4</v>
      </c>
      <c r="B37" s="1" t="s">
        <v>118</v>
      </c>
      <c r="C37" s="1" t="s">
        <v>119</v>
      </c>
      <c r="D37" s="1" t="s">
        <v>119</v>
      </c>
      <c r="E37" s="1" t="s">
        <v>120</v>
      </c>
      <c r="F37" s="1" t="s">
        <v>11</v>
      </c>
      <c r="G37" s="1" t="s">
        <v>11</v>
      </c>
      <c r="H37" s="1" t="s">
        <v>11</v>
      </c>
      <c r="I37" s="1" t="s">
        <v>11</v>
      </c>
      <c r="J37" s="1" t="s">
        <v>11</v>
      </c>
      <c r="K37" s="1" t="s">
        <v>11</v>
      </c>
    </row>
    <row r="38" spans="1:11" x14ac:dyDescent="0.25">
      <c r="A38">
        <v>1</v>
      </c>
      <c r="B38" s="1" t="s">
        <v>121</v>
      </c>
      <c r="C38" s="1" t="s">
        <v>122</v>
      </c>
      <c r="D38" s="1" t="s">
        <v>123</v>
      </c>
      <c r="E38" s="1" t="s">
        <v>124</v>
      </c>
      <c r="F38" s="1" t="s">
        <v>125</v>
      </c>
      <c r="G38" s="1" t="s">
        <v>11</v>
      </c>
      <c r="H38" s="1" t="s">
        <v>11</v>
      </c>
      <c r="I38" s="1" t="s">
        <v>11</v>
      </c>
      <c r="J38" s="1" t="s">
        <v>11</v>
      </c>
      <c r="K38" s="1" t="s">
        <v>11</v>
      </c>
    </row>
    <row r="39" spans="1:11" x14ac:dyDescent="0.25">
      <c r="A39">
        <v>1</v>
      </c>
      <c r="B39" s="1" t="s">
        <v>126</v>
      </c>
      <c r="C39" s="1" t="s">
        <v>127</v>
      </c>
      <c r="D39" s="1" t="s">
        <v>128</v>
      </c>
      <c r="E39" s="1" t="s">
        <v>129</v>
      </c>
      <c r="F39" s="1" t="s">
        <v>130</v>
      </c>
      <c r="G39" s="1" t="s">
        <v>131</v>
      </c>
      <c r="H39" s="1" t="s">
        <v>11</v>
      </c>
      <c r="I39" s="1" t="s">
        <v>11</v>
      </c>
      <c r="J39" s="1" t="s">
        <v>132</v>
      </c>
      <c r="K39" s="1" t="s">
        <v>11</v>
      </c>
    </row>
    <row r="40" spans="1:11" x14ac:dyDescent="0.25">
      <c r="A40">
        <v>4</v>
      </c>
      <c r="B40" s="1" t="s">
        <v>133</v>
      </c>
      <c r="C40" s="1" t="s">
        <v>134</v>
      </c>
      <c r="D40" s="1" t="s">
        <v>135</v>
      </c>
      <c r="E40" s="1" t="s">
        <v>136</v>
      </c>
      <c r="F40" s="1" t="s">
        <v>130</v>
      </c>
      <c r="G40" s="1" t="s">
        <v>137</v>
      </c>
      <c r="H40" s="1" t="s">
        <v>11</v>
      </c>
      <c r="I40" s="1" t="s">
        <v>11</v>
      </c>
      <c r="J40" s="1" t="s">
        <v>138</v>
      </c>
      <c r="K40" s="1" t="s">
        <v>11</v>
      </c>
    </row>
    <row r="41" spans="1:11" x14ac:dyDescent="0.25">
      <c r="A41">
        <v>4</v>
      </c>
      <c r="B41" s="1" t="s">
        <v>139</v>
      </c>
      <c r="C41" s="1" t="s">
        <v>140</v>
      </c>
      <c r="D41" s="1" t="s">
        <v>141</v>
      </c>
      <c r="E41" s="1" t="s">
        <v>142</v>
      </c>
      <c r="F41" s="1" t="s">
        <v>143</v>
      </c>
      <c r="G41" s="1" t="s">
        <v>144</v>
      </c>
      <c r="H41" s="1" t="s">
        <v>11</v>
      </c>
      <c r="I41" s="1" t="s">
        <v>11</v>
      </c>
      <c r="J41" s="1" t="s">
        <v>139</v>
      </c>
      <c r="K41" s="1" t="s">
        <v>11</v>
      </c>
    </row>
    <row r="42" spans="1:11" x14ac:dyDescent="0.25">
      <c r="A42">
        <v>1</v>
      </c>
      <c r="B42" s="1" t="s">
        <v>139</v>
      </c>
      <c r="C42" s="1" t="s">
        <v>145</v>
      </c>
      <c r="D42" s="1" t="s">
        <v>141</v>
      </c>
      <c r="E42" s="1" t="s">
        <v>146</v>
      </c>
      <c r="F42" s="1" t="s">
        <v>147</v>
      </c>
      <c r="G42" s="1" t="s">
        <v>11</v>
      </c>
      <c r="H42" s="1" t="s">
        <v>11</v>
      </c>
      <c r="I42" s="1" t="s">
        <v>11</v>
      </c>
      <c r="J42" s="1" t="s">
        <v>11</v>
      </c>
      <c r="K42" s="1" t="s">
        <v>11</v>
      </c>
    </row>
    <row r="43" spans="1:11" x14ac:dyDescent="0.25">
      <c r="A43">
        <v>1</v>
      </c>
      <c r="B43" s="1" t="s">
        <v>148</v>
      </c>
      <c r="C43" s="1" t="s">
        <v>148</v>
      </c>
      <c r="D43" s="1" t="s">
        <v>149</v>
      </c>
      <c r="E43" s="1" t="s">
        <v>150</v>
      </c>
      <c r="F43" s="1" t="s">
        <v>11</v>
      </c>
      <c r="G43" s="1" t="s">
        <v>11</v>
      </c>
      <c r="H43" s="1" t="s">
        <v>11</v>
      </c>
      <c r="I43" s="1" t="s">
        <v>11</v>
      </c>
      <c r="J43" s="1" t="s">
        <v>11</v>
      </c>
      <c r="K43" s="1" t="s">
        <v>11</v>
      </c>
    </row>
    <row r="44" spans="1:11" x14ac:dyDescent="0.25">
      <c r="A44">
        <v>2</v>
      </c>
      <c r="B44" s="1" t="s">
        <v>151</v>
      </c>
      <c r="C44" s="1" t="s">
        <v>151</v>
      </c>
      <c r="D44" s="1" t="s">
        <v>151</v>
      </c>
      <c r="E44" s="1" t="s">
        <v>152</v>
      </c>
      <c r="F44" s="1" t="s">
        <v>11</v>
      </c>
      <c r="G44" s="1" t="s">
        <v>11</v>
      </c>
      <c r="H44" s="1" t="s">
        <v>11</v>
      </c>
      <c r="I44" s="1" t="s">
        <v>11</v>
      </c>
      <c r="J44" s="1" t="s">
        <v>11</v>
      </c>
      <c r="K44" s="1" t="s">
        <v>11</v>
      </c>
    </row>
    <row r="45" spans="1:11" x14ac:dyDescent="0.25">
      <c r="A45">
        <v>4</v>
      </c>
      <c r="B45" s="1" t="s">
        <v>153</v>
      </c>
      <c r="C45" s="1" t="s">
        <v>154</v>
      </c>
      <c r="D45" s="1" t="s">
        <v>141</v>
      </c>
      <c r="E45" s="1" t="s">
        <v>155</v>
      </c>
      <c r="F45" s="1" t="s">
        <v>156</v>
      </c>
      <c r="G45" s="1" t="s">
        <v>157</v>
      </c>
      <c r="H45" s="1" t="s">
        <v>11</v>
      </c>
      <c r="I45" s="1" t="s">
        <v>11</v>
      </c>
      <c r="J45" s="1" t="s">
        <v>153</v>
      </c>
      <c r="K45" s="1" t="s">
        <v>11</v>
      </c>
    </row>
    <row r="46" spans="1:11" x14ac:dyDescent="0.25">
      <c r="A46">
        <v>1</v>
      </c>
      <c r="B46" s="1" t="s">
        <v>158</v>
      </c>
      <c r="C46" s="1" t="s">
        <v>158</v>
      </c>
      <c r="D46" s="1" t="s">
        <v>158</v>
      </c>
      <c r="E46" s="1" t="s">
        <v>159</v>
      </c>
      <c r="F46" s="1" t="s">
        <v>160</v>
      </c>
      <c r="G46" s="1" t="s">
        <v>11</v>
      </c>
      <c r="H46" s="1" t="s">
        <v>11</v>
      </c>
      <c r="I46" s="1" t="s">
        <v>11</v>
      </c>
      <c r="J46" s="1" t="s">
        <v>11</v>
      </c>
      <c r="K46" s="1" t="s">
        <v>11</v>
      </c>
    </row>
    <row r="47" spans="1:11" x14ac:dyDescent="0.25">
      <c r="A47">
        <v>2</v>
      </c>
      <c r="B47" s="1" t="s">
        <v>161</v>
      </c>
      <c r="C47" s="1" t="s">
        <v>162</v>
      </c>
      <c r="D47" s="1" t="s">
        <v>163</v>
      </c>
      <c r="E47" s="1" t="s">
        <v>164</v>
      </c>
      <c r="F47" s="1" t="s">
        <v>11</v>
      </c>
      <c r="G47" s="1" t="s">
        <v>11</v>
      </c>
      <c r="H47" s="1" t="s">
        <v>11</v>
      </c>
      <c r="I47" s="1" t="s">
        <v>11</v>
      </c>
      <c r="J47" s="1" t="s">
        <v>11</v>
      </c>
      <c r="K47" s="1" t="s">
        <v>11</v>
      </c>
    </row>
    <row r="48" spans="1:11" x14ac:dyDescent="0.25">
      <c r="A48">
        <v>1</v>
      </c>
      <c r="B48" s="1" t="s">
        <v>165</v>
      </c>
      <c r="C48" s="1" t="s">
        <v>165</v>
      </c>
      <c r="D48" s="1" t="s">
        <v>166</v>
      </c>
      <c r="E48" s="1" t="s">
        <v>167</v>
      </c>
      <c r="F48" s="1" t="s">
        <v>11</v>
      </c>
      <c r="G48" s="1" t="s">
        <v>11</v>
      </c>
      <c r="H48" s="1" t="s">
        <v>11</v>
      </c>
      <c r="I48" s="1" t="s">
        <v>11</v>
      </c>
      <c r="J48" s="1" t="s">
        <v>11</v>
      </c>
      <c r="K48" s="1" t="s">
        <v>11</v>
      </c>
    </row>
    <row r="49" spans="1:11" x14ac:dyDescent="0.25">
      <c r="A49">
        <v>4</v>
      </c>
      <c r="B49" s="1" t="s">
        <v>168</v>
      </c>
      <c r="C49" s="1" t="s">
        <v>168</v>
      </c>
      <c r="D49" s="1" t="s">
        <v>169</v>
      </c>
      <c r="E49" s="1" t="s">
        <v>170</v>
      </c>
      <c r="F49" s="1" t="s">
        <v>11</v>
      </c>
      <c r="G49" s="1" t="s">
        <v>11</v>
      </c>
      <c r="H49" s="1" t="s">
        <v>11</v>
      </c>
      <c r="I49" s="1" t="s">
        <v>11</v>
      </c>
      <c r="J49" s="1" t="s">
        <v>11</v>
      </c>
      <c r="K49" s="1" t="s">
        <v>11</v>
      </c>
    </row>
    <row r="50" spans="1:11" x14ac:dyDescent="0.25">
      <c r="A50">
        <v>5</v>
      </c>
      <c r="B50" s="1" t="s">
        <v>171</v>
      </c>
      <c r="C50" s="1" t="s">
        <v>171</v>
      </c>
      <c r="D50" s="1" t="s">
        <v>171</v>
      </c>
      <c r="E50" s="1" t="s">
        <v>172</v>
      </c>
      <c r="F50" s="1" t="s">
        <v>11</v>
      </c>
      <c r="G50" s="1" t="s">
        <v>11</v>
      </c>
      <c r="H50" s="1" t="s">
        <v>11</v>
      </c>
      <c r="I50" s="1" t="s">
        <v>11</v>
      </c>
      <c r="J50" s="1" t="s">
        <v>11</v>
      </c>
      <c r="K50" s="1" t="s">
        <v>11</v>
      </c>
    </row>
    <row r="51" spans="1:11" x14ac:dyDescent="0.25">
      <c r="A51">
        <v>1</v>
      </c>
      <c r="B51" s="1" t="s">
        <v>173</v>
      </c>
      <c r="C51" s="1" t="s">
        <v>173</v>
      </c>
      <c r="D51" s="1" t="s">
        <v>174</v>
      </c>
      <c r="E51" s="1" t="s">
        <v>175</v>
      </c>
      <c r="F51" s="1" t="s">
        <v>11</v>
      </c>
      <c r="G51" s="1" t="s">
        <v>11</v>
      </c>
      <c r="H51" s="1" t="s">
        <v>11</v>
      </c>
      <c r="I51" s="1" t="s">
        <v>11</v>
      </c>
      <c r="J51" s="1" t="s">
        <v>11</v>
      </c>
      <c r="K51" s="1" t="s">
        <v>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A1:J24"/>
  <sheetViews>
    <sheetView workbookViewId="0">
      <selection activeCell="B2" sqref="B2:B24"/>
    </sheetView>
  </sheetViews>
  <sheetFormatPr defaultRowHeight="15" x14ac:dyDescent="0.25"/>
  <cols>
    <col min="1" max="1" width="6.42578125" bestFit="1" customWidth="1"/>
    <col min="2" max="2" width="26.5703125" bestFit="1" customWidth="1"/>
    <col min="3" max="3" width="34.7109375" bestFit="1" customWidth="1"/>
    <col min="4" max="4" width="35.85546875" bestFit="1" customWidth="1"/>
    <col min="5" max="6" width="81.140625" bestFit="1" customWidth="1"/>
    <col min="7" max="7" width="12.5703125" bestFit="1" customWidth="1"/>
    <col min="8" max="8" width="11.42578125" bestFit="1" customWidth="1"/>
    <col min="9" max="9" width="16.140625" bestFit="1" customWidth="1"/>
    <col min="10" max="10" width="11.1406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</row>
    <row r="2" spans="1:10" x14ac:dyDescent="0.25">
      <c r="A2">
        <v>24</v>
      </c>
      <c r="B2" s="1" t="s">
        <v>11</v>
      </c>
      <c r="C2" s="1" t="s">
        <v>51</v>
      </c>
      <c r="D2" s="1" t="s">
        <v>52</v>
      </c>
      <c r="E2" s="1" t="s">
        <v>176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</row>
    <row r="3" spans="1:10" x14ac:dyDescent="0.25">
      <c r="A3">
        <v>1</v>
      </c>
      <c r="B3" s="1" t="s">
        <v>11</v>
      </c>
      <c r="C3" s="1" t="s">
        <v>19</v>
      </c>
      <c r="D3" s="1" t="s">
        <v>20</v>
      </c>
      <c r="E3" s="1" t="s">
        <v>21</v>
      </c>
      <c r="F3" s="1" t="s">
        <v>18</v>
      </c>
      <c r="G3" s="1" t="s">
        <v>11</v>
      </c>
      <c r="H3" s="1" t="s">
        <v>11</v>
      </c>
      <c r="I3" s="1" t="s">
        <v>11</v>
      </c>
      <c r="J3" s="1" t="s">
        <v>11</v>
      </c>
    </row>
    <row r="4" spans="1:10" x14ac:dyDescent="0.25">
      <c r="A4">
        <v>1</v>
      </c>
      <c r="B4" s="1" t="s">
        <v>11</v>
      </c>
      <c r="C4" s="1" t="s">
        <v>26</v>
      </c>
      <c r="D4" s="1" t="s">
        <v>27</v>
      </c>
      <c r="E4" s="1" t="s">
        <v>177</v>
      </c>
      <c r="F4" s="1" t="s">
        <v>18</v>
      </c>
      <c r="G4" s="1" t="s">
        <v>11</v>
      </c>
      <c r="H4" s="1" t="s">
        <v>11</v>
      </c>
      <c r="I4" s="1" t="s">
        <v>11</v>
      </c>
      <c r="J4" s="1" t="s">
        <v>11</v>
      </c>
    </row>
    <row r="5" spans="1:10" x14ac:dyDescent="0.25">
      <c r="A5">
        <v>2</v>
      </c>
      <c r="B5" s="1" t="s">
        <v>11</v>
      </c>
      <c r="C5" s="1" t="s">
        <v>41</v>
      </c>
      <c r="D5" s="1" t="s">
        <v>42</v>
      </c>
      <c r="E5" s="1" t="s">
        <v>178</v>
      </c>
      <c r="F5" s="1" t="s">
        <v>44</v>
      </c>
      <c r="G5" s="1" t="s">
        <v>45</v>
      </c>
      <c r="H5" s="1" t="s">
        <v>46</v>
      </c>
      <c r="I5" s="1" t="s">
        <v>11</v>
      </c>
      <c r="J5" s="1" t="s">
        <v>11</v>
      </c>
    </row>
    <row r="6" spans="1:10" x14ac:dyDescent="0.25">
      <c r="A6">
        <v>6</v>
      </c>
      <c r="B6" s="1" t="s">
        <v>56</v>
      </c>
      <c r="C6" s="1" t="s">
        <v>57</v>
      </c>
      <c r="D6" s="1" t="s">
        <v>58</v>
      </c>
      <c r="E6" s="1" t="s">
        <v>179</v>
      </c>
      <c r="F6" s="1" t="s">
        <v>11</v>
      </c>
      <c r="G6" s="1" t="s">
        <v>11</v>
      </c>
      <c r="H6" s="1" t="s">
        <v>11</v>
      </c>
      <c r="I6" s="1" t="s">
        <v>11</v>
      </c>
      <c r="J6" s="1" t="s">
        <v>11</v>
      </c>
    </row>
    <row r="7" spans="1:10" x14ac:dyDescent="0.25">
      <c r="A7">
        <v>2</v>
      </c>
      <c r="B7" s="1" t="s">
        <v>68</v>
      </c>
      <c r="C7" s="1" t="s">
        <v>57</v>
      </c>
      <c r="D7" s="1" t="s">
        <v>58</v>
      </c>
      <c r="E7" s="1" t="s">
        <v>180</v>
      </c>
      <c r="F7" s="1" t="s">
        <v>11</v>
      </c>
      <c r="G7" s="1" t="s">
        <v>11</v>
      </c>
      <c r="H7" s="1" t="s">
        <v>11</v>
      </c>
      <c r="I7" s="1" t="s">
        <v>11</v>
      </c>
      <c r="J7" s="1" t="s">
        <v>11</v>
      </c>
    </row>
    <row r="8" spans="1:10" x14ac:dyDescent="0.25">
      <c r="A8">
        <v>4</v>
      </c>
      <c r="B8" s="1" t="s">
        <v>70</v>
      </c>
      <c r="C8" s="1" t="s">
        <v>51</v>
      </c>
      <c r="D8" s="1" t="s">
        <v>52</v>
      </c>
      <c r="E8" s="1" t="s">
        <v>181</v>
      </c>
      <c r="F8" s="1" t="s">
        <v>11</v>
      </c>
      <c r="G8" s="1" t="s">
        <v>11</v>
      </c>
      <c r="H8" s="1" t="s">
        <v>11</v>
      </c>
      <c r="I8" s="1" t="s">
        <v>11</v>
      </c>
      <c r="J8" s="1" t="s">
        <v>11</v>
      </c>
    </row>
    <row r="9" spans="1:10" x14ac:dyDescent="0.25">
      <c r="A9">
        <v>2</v>
      </c>
      <c r="B9" s="1" t="s">
        <v>79</v>
      </c>
      <c r="C9" s="1" t="s">
        <v>51</v>
      </c>
      <c r="D9" s="1" t="s">
        <v>52</v>
      </c>
      <c r="E9" s="1" t="s">
        <v>80</v>
      </c>
      <c r="F9" s="1" t="s">
        <v>11</v>
      </c>
      <c r="G9" s="1" t="s">
        <v>11</v>
      </c>
      <c r="H9" s="1" t="s">
        <v>11</v>
      </c>
      <c r="I9" s="1" t="s">
        <v>11</v>
      </c>
      <c r="J9" s="1" t="s">
        <v>11</v>
      </c>
    </row>
    <row r="10" spans="1:10" x14ac:dyDescent="0.25">
      <c r="A10">
        <v>2</v>
      </c>
      <c r="B10" s="1" t="s">
        <v>106</v>
      </c>
      <c r="C10" s="1" t="s">
        <v>57</v>
      </c>
      <c r="D10" s="1" t="s">
        <v>58</v>
      </c>
      <c r="E10" s="1" t="s">
        <v>182</v>
      </c>
      <c r="F10" s="1" t="s">
        <v>11</v>
      </c>
      <c r="G10" s="1" t="s">
        <v>11</v>
      </c>
      <c r="H10" s="1" t="s">
        <v>11</v>
      </c>
      <c r="I10" s="1" t="s">
        <v>11</v>
      </c>
      <c r="J10" s="1" t="s">
        <v>11</v>
      </c>
    </row>
    <row r="11" spans="1:10" x14ac:dyDescent="0.25">
      <c r="A11">
        <v>1</v>
      </c>
      <c r="B11" s="1" t="s">
        <v>112</v>
      </c>
      <c r="C11" s="1" t="s">
        <v>57</v>
      </c>
      <c r="D11" s="1" t="s">
        <v>58</v>
      </c>
      <c r="E11" s="1" t="s">
        <v>113</v>
      </c>
      <c r="F11" s="1" t="s">
        <v>11</v>
      </c>
      <c r="G11" s="1" t="s">
        <v>11</v>
      </c>
      <c r="H11" s="1" t="s">
        <v>11</v>
      </c>
      <c r="I11" s="1" t="s">
        <v>11</v>
      </c>
      <c r="J11" s="1" t="s">
        <v>11</v>
      </c>
    </row>
    <row r="12" spans="1:10" x14ac:dyDescent="0.25">
      <c r="A12">
        <v>1</v>
      </c>
      <c r="B12" s="1" t="s">
        <v>121</v>
      </c>
      <c r="C12" s="1" t="s">
        <v>122</v>
      </c>
      <c r="D12" s="1" t="s">
        <v>123</v>
      </c>
      <c r="E12" s="1" t="s">
        <v>124</v>
      </c>
      <c r="F12" s="1" t="s">
        <v>125</v>
      </c>
      <c r="G12" s="1" t="s">
        <v>11</v>
      </c>
      <c r="H12" s="1" t="s">
        <v>11</v>
      </c>
      <c r="I12" s="1" t="s">
        <v>11</v>
      </c>
      <c r="J12" s="1" t="s">
        <v>11</v>
      </c>
    </row>
    <row r="13" spans="1:10" x14ac:dyDescent="0.25">
      <c r="A13">
        <v>1</v>
      </c>
      <c r="B13" s="1" t="s">
        <v>126</v>
      </c>
      <c r="C13" s="1" t="s">
        <v>127</v>
      </c>
      <c r="D13" s="1" t="s">
        <v>128</v>
      </c>
      <c r="E13" s="1" t="s">
        <v>183</v>
      </c>
      <c r="F13" s="1" t="s">
        <v>130</v>
      </c>
      <c r="G13" s="1" t="s">
        <v>131</v>
      </c>
      <c r="H13" s="1" t="s">
        <v>11</v>
      </c>
      <c r="I13" s="1" t="s">
        <v>132</v>
      </c>
      <c r="J13" s="1" t="s">
        <v>11</v>
      </c>
    </row>
    <row r="14" spans="1:10" x14ac:dyDescent="0.25">
      <c r="A14">
        <v>1</v>
      </c>
      <c r="B14" s="1" t="s">
        <v>139</v>
      </c>
      <c r="C14" s="1" t="s">
        <v>145</v>
      </c>
      <c r="D14" s="1" t="s">
        <v>141</v>
      </c>
      <c r="E14" s="1" t="s">
        <v>146</v>
      </c>
      <c r="F14" s="1" t="s">
        <v>147</v>
      </c>
      <c r="G14" s="1" t="s">
        <v>11</v>
      </c>
      <c r="H14" s="1" t="s">
        <v>11</v>
      </c>
      <c r="I14" s="1" t="s">
        <v>11</v>
      </c>
      <c r="J14" s="1" t="s">
        <v>11</v>
      </c>
    </row>
    <row r="15" spans="1:10" x14ac:dyDescent="0.25">
      <c r="A15">
        <v>1</v>
      </c>
      <c r="B15" s="1" t="s">
        <v>148</v>
      </c>
      <c r="C15" s="1" t="s">
        <v>148</v>
      </c>
      <c r="D15" s="1" t="s">
        <v>149</v>
      </c>
      <c r="E15" s="1" t="s">
        <v>184</v>
      </c>
      <c r="F15" s="1" t="s">
        <v>11</v>
      </c>
      <c r="G15" s="1" t="s">
        <v>11</v>
      </c>
      <c r="H15" s="1" t="s">
        <v>11</v>
      </c>
      <c r="I15" s="1" t="s">
        <v>11</v>
      </c>
      <c r="J15" s="1" t="s">
        <v>11</v>
      </c>
    </row>
    <row r="16" spans="1:10" x14ac:dyDescent="0.25">
      <c r="A16">
        <v>1</v>
      </c>
      <c r="B16" s="1" t="s">
        <v>185</v>
      </c>
      <c r="C16" s="1" t="s">
        <v>185</v>
      </c>
      <c r="D16" s="1" t="s">
        <v>186</v>
      </c>
      <c r="E16" s="1" t="s">
        <v>187</v>
      </c>
      <c r="F16" s="1" t="s">
        <v>188</v>
      </c>
      <c r="G16" s="1" t="s">
        <v>11</v>
      </c>
      <c r="H16" s="1" t="s">
        <v>11</v>
      </c>
      <c r="I16" s="1" t="s">
        <v>11</v>
      </c>
      <c r="J16" s="1" t="s">
        <v>11</v>
      </c>
    </row>
    <row r="17" spans="1:10" x14ac:dyDescent="0.25">
      <c r="A17">
        <v>1</v>
      </c>
      <c r="B17" s="1" t="s">
        <v>189</v>
      </c>
      <c r="C17" s="1" t="s">
        <v>189</v>
      </c>
      <c r="D17" s="1" t="s">
        <v>189</v>
      </c>
      <c r="E17" s="1" t="s">
        <v>190</v>
      </c>
      <c r="F17" s="1" t="s">
        <v>11</v>
      </c>
      <c r="G17" s="1" t="s">
        <v>11</v>
      </c>
      <c r="H17" s="1" t="s">
        <v>11</v>
      </c>
      <c r="I17" s="1" t="s">
        <v>11</v>
      </c>
      <c r="J17" s="1" t="s">
        <v>11</v>
      </c>
    </row>
    <row r="18" spans="1:10" x14ac:dyDescent="0.25">
      <c r="A18">
        <v>2</v>
      </c>
      <c r="B18" s="1" t="s">
        <v>151</v>
      </c>
      <c r="C18" s="1" t="s">
        <v>151</v>
      </c>
      <c r="D18" s="1" t="s">
        <v>151</v>
      </c>
      <c r="E18" s="1" t="s">
        <v>152</v>
      </c>
      <c r="F18" s="1" t="s">
        <v>11</v>
      </c>
      <c r="G18" s="1" t="s">
        <v>11</v>
      </c>
      <c r="H18" s="1" t="s">
        <v>11</v>
      </c>
      <c r="I18" s="1" t="s">
        <v>11</v>
      </c>
      <c r="J18" s="1" t="s">
        <v>11</v>
      </c>
    </row>
    <row r="19" spans="1:10" x14ac:dyDescent="0.25">
      <c r="A19">
        <v>1</v>
      </c>
      <c r="B19" s="1" t="s">
        <v>191</v>
      </c>
      <c r="C19" s="1" t="s">
        <v>191</v>
      </c>
      <c r="D19" s="1" t="s">
        <v>191</v>
      </c>
      <c r="E19" s="1" t="s">
        <v>192</v>
      </c>
      <c r="F19" s="1" t="s">
        <v>11</v>
      </c>
      <c r="G19" s="1" t="s">
        <v>11</v>
      </c>
      <c r="H19" s="1" t="s">
        <v>11</v>
      </c>
      <c r="I19" s="1" t="s">
        <v>11</v>
      </c>
      <c r="J19" s="1" t="s">
        <v>11</v>
      </c>
    </row>
    <row r="20" spans="1:10" x14ac:dyDescent="0.25">
      <c r="A20">
        <v>1</v>
      </c>
      <c r="B20" s="1" t="s">
        <v>193</v>
      </c>
      <c r="C20" s="1" t="s">
        <v>193</v>
      </c>
      <c r="D20" s="1" t="s">
        <v>193</v>
      </c>
      <c r="E20" s="1" t="s">
        <v>194</v>
      </c>
      <c r="F20" s="1" t="s">
        <v>195</v>
      </c>
      <c r="G20" s="1" t="s">
        <v>11</v>
      </c>
      <c r="H20" s="1" t="s">
        <v>11</v>
      </c>
      <c r="I20" s="1" t="s">
        <v>11</v>
      </c>
      <c r="J20" s="1" t="s">
        <v>11</v>
      </c>
    </row>
    <row r="21" spans="1:10" x14ac:dyDescent="0.25">
      <c r="A21">
        <v>1</v>
      </c>
      <c r="B21" s="1" t="s">
        <v>158</v>
      </c>
      <c r="C21" s="1" t="s">
        <v>158</v>
      </c>
      <c r="D21" s="1" t="s">
        <v>158</v>
      </c>
      <c r="E21" s="1" t="s">
        <v>196</v>
      </c>
      <c r="F21" s="1" t="s">
        <v>160</v>
      </c>
      <c r="G21" s="1" t="s">
        <v>11</v>
      </c>
      <c r="H21" s="1" t="s">
        <v>11</v>
      </c>
      <c r="I21" s="1" t="s">
        <v>11</v>
      </c>
      <c r="J21" s="1" t="s">
        <v>11</v>
      </c>
    </row>
    <row r="22" spans="1:10" x14ac:dyDescent="0.25">
      <c r="A22">
        <v>1</v>
      </c>
      <c r="B22" s="1" t="s">
        <v>165</v>
      </c>
      <c r="C22" s="1" t="s">
        <v>165</v>
      </c>
      <c r="D22" s="1" t="s">
        <v>166</v>
      </c>
      <c r="E22" s="1" t="s">
        <v>197</v>
      </c>
      <c r="F22" s="1" t="s">
        <v>11</v>
      </c>
      <c r="G22" s="1" t="s">
        <v>11</v>
      </c>
      <c r="H22" s="1" t="s">
        <v>11</v>
      </c>
      <c r="I22" s="1" t="s">
        <v>11</v>
      </c>
      <c r="J22" s="1" t="s">
        <v>11</v>
      </c>
    </row>
    <row r="23" spans="1:10" x14ac:dyDescent="0.25">
      <c r="A23">
        <v>1</v>
      </c>
      <c r="B23" s="1" t="s">
        <v>198</v>
      </c>
      <c r="C23" s="1" t="s">
        <v>198</v>
      </c>
      <c r="D23" s="1" t="s">
        <v>198</v>
      </c>
      <c r="E23" s="1" t="s">
        <v>175</v>
      </c>
      <c r="F23" s="1" t="s">
        <v>11</v>
      </c>
      <c r="G23" s="1" t="s">
        <v>11</v>
      </c>
      <c r="H23" s="1" t="s">
        <v>11</v>
      </c>
      <c r="I23" s="1" t="s">
        <v>11</v>
      </c>
      <c r="J23" s="1" t="s">
        <v>11</v>
      </c>
    </row>
    <row r="24" spans="1:10" x14ac:dyDescent="0.25">
      <c r="A24">
        <v>24</v>
      </c>
      <c r="B24" s="1" t="s">
        <v>199</v>
      </c>
      <c r="C24" s="1" t="s">
        <v>199</v>
      </c>
      <c r="D24" s="1" t="s">
        <v>199</v>
      </c>
      <c r="E24" s="1" t="s">
        <v>200</v>
      </c>
      <c r="F24" s="1" t="s">
        <v>11</v>
      </c>
      <c r="G24" s="1" t="s">
        <v>11</v>
      </c>
      <c r="H24" s="1" t="s">
        <v>11</v>
      </c>
      <c r="I24" s="1" t="s">
        <v>11</v>
      </c>
      <c r="J24" s="1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I16"/>
  <sheetViews>
    <sheetView workbookViewId="0">
      <selection activeCell="D29" sqref="D29"/>
    </sheetView>
  </sheetViews>
  <sheetFormatPr defaultRowHeight="15" x14ac:dyDescent="0.25"/>
  <cols>
    <col min="1" max="1" width="6.42578125" bestFit="1" customWidth="1"/>
    <col min="2" max="2" width="25.140625" bestFit="1" customWidth="1"/>
    <col min="3" max="3" width="34.7109375" bestFit="1" customWidth="1"/>
    <col min="4" max="4" width="35.85546875" bestFit="1" customWidth="1"/>
    <col min="5" max="5" width="77.85546875" bestFit="1" customWidth="1"/>
    <col min="6" max="6" width="81.140625" bestFit="1" customWidth="1"/>
    <col min="7" max="7" width="12" bestFit="1" customWidth="1"/>
    <col min="8" max="8" width="11.42578125" bestFit="1" customWidth="1"/>
    <col min="9" max="9" width="11.140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10</v>
      </c>
    </row>
    <row r="2" spans="1:9" x14ac:dyDescent="0.25">
      <c r="A2">
        <v>16</v>
      </c>
      <c r="B2" s="1" t="s">
        <v>11</v>
      </c>
      <c r="C2" s="1" t="s">
        <v>145</v>
      </c>
      <c r="D2" s="1" t="s">
        <v>141</v>
      </c>
      <c r="E2" s="1" t="s">
        <v>201</v>
      </c>
      <c r="F2" s="1" t="s">
        <v>147</v>
      </c>
      <c r="G2" s="1" t="s">
        <v>11</v>
      </c>
      <c r="H2" s="1" t="s">
        <v>11</v>
      </c>
      <c r="I2" s="1" t="s">
        <v>11</v>
      </c>
    </row>
    <row r="3" spans="1:9" x14ac:dyDescent="0.25">
      <c r="A3">
        <v>1</v>
      </c>
      <c r="B3" s="1" t="s">
        <v>11</v>
      </c>
      <c r="C3" s="1" t="s">
        <v>41</v>
      </c>
      <c r="D3" s="1" t="s">
        <v>42</v>
      </c>
      <c r="E3" s="1" t="s">
        <v>202</v>
      </c>
      <c r="F3" s="1" t="s">
        <v>44</v>
      </c>
      <c r="G3" s="1" t="s">
        <v>45</v>
      </c>
      <c r="H3" s="1" t="s">
        <v>46</v>
      </c>
      <c r="I3" s="1" t="s">
        <v>11</v>
      </c>
    </row>
    <row r="4" spans="1:9" x14ac:dyDescent="0.25">
      <c r="A4">
        <v>2</v>
      </c>
      <c r="B4" s="1" t="s">
        <v>56</v>
      </c>
      <c r="C4" s="1" t="s">
        <v>57</v>
      </c>
      <c r="D4" s="1" t="s">
        <v>58</v>
      </c>
      <c r="E4" s="1" t="s">
        <v>203</v>
      </c>
      <c r="F4" s="1" t="s">
        <v>11</v>
      </c>
      <c r="G4" s="1" t="s">
        <v>11</v>
      </c>
      <c r="H4" s="1" t="s">
        <v>11</v>
      </c>
      <c r="I4" s="1" t="s">
        <v>11</v>
      </c>
    </row>
    <row r="5" spans="1:9" x14ac:dyDescent="0.25">
      <c r="A5">
        <v>3</v>
      </c>
      <c r="B5" s="1" t="s">
        <v>68</v>
      </c>
      <c r="C5" s="1" t="s">
        <v>57</v>
      </c>
      <c r="D5" s="1" t="s">
        <v>58</v>
      </c>
      <c r="E5" s="1" t="s">
        <v>204</v>
      </c>
      <c r="F5" s="1" t="s">
        <v>11</v>
      </c>
      <c r="G5" s="1" t="s">
        <v>11</v>
      </c>
      <c r="H5" s="1" t="s">
        <v>11</v>
      </c>
      <c r="I5" s="1" t="s">
        <v>11</v>
      </c>
    </row>
    <row r="6" spans="1:9" x14ac:dyDescent="0.25">
      <c r="A6">
        <v>4</v>
      </c>
      <c r="B6" s="1" t="s">
        <v>70</v>
      </c>
      <c r="C6" s="1" t="s">
        <v>51</v>
      </c>
      <c r="D6" s="1" t="s">
        <v>52</v>
      </c>
      <c r="E6" s="1" t="s">
        <v>181</v>
      </c>
      <c r="F6" s="1" t="s">
        <v>11</v>
      </c>
      <c r="G6" s="1" t="s">
        <v>11</v>
      </c>
      <c r="H6" s="1" t="s">
        <v>11</v>
      </c>
      <c r="I6" s="1" t="s">
        <v>11</v>
      </c>
    </row>
    <row r="7" spans="1:9" x14ac:dyDescent="0.25">
      <c r="A7">
        <v>2</v>
      </c>
      <c r="B7" s="1" t="s">
        <v>79</v>
      </c>
      <c r="C7" s="1" t="s">
        <v>51</v>
      </c>
      <c r="D7" s="1" t="s">
        <v>52</v>
      </c>
      <c r="E7" s="1" t="s">
        <v>80</v>
      </c>
      <c r="F7" s="1" t="s">
        <v>11</v>
      </c>
      <c r="G7" s="1" t="s">
        <v>11</v>
      </c>
      <c r="H7" s="1" t="s">
        <v>11</v>
      </c>
      <c r="I7" s="1" t="s">
        <v>11</v>
      </c>
    </row>
    <row r="8" spans="1:9" x14ac:dyDescent="0.25">
      <c r="A8">
        <v>8</v>
      </c>
      <c r="B8" s="1" t="s">
        <v>112</v>
      </c>
      <c r="C8" s="1" t="s">
        <v>57</v>
      </c>
      <c r="D8" s="1" t="s">
        <v>58</v>
      </c>
      <c r="E8" s="1" t="s">
        <v>205</v>
      </c>
      <c r="F8" s="1" t="s">
        <v>11</v>
      </c>
      <c r="G8" s="1" t="s">
        <v>11</v>
      </c>
      <c r="H8" s="1" t="s">
        <v>11</v>
      </c>
      <c r="I8" s="1" t="s">
        <v>11</v>
      </c>
    </row>
    <row r="9" spans="1:9" x14ac:dyDescent="0.25">
      <c r="A9">
        <v>1</v>
      </c>
      <c r="B9" s="1" t="s">
        <v>121</v>
      </c>
      <c r="C9" s="1" t="s">
        <v>122</v>
      </c>
      <c r="D9" s="1" t="s">
        <v>123</v>
      </c>
      <c r="E9" s="1" t="s">
        <v>124</v>
      </c>
      <c r="F9" s="1" t="s">
        <v>125</v>
      </c>
      <c r="G9" s="1" t="s">
        <v>11</v>
      </c>
      <c r="H9" s="1" t="s">
        <v>11</v>
      </c>
      <c r="I9" s="1" t="s">
        <v>11</v>
      </c>
    </row>
    <row r="10" spans="1:9" x14ac:dyDescent="0.25">
      <c r="A10">
        <v>1</v>
      </c>
      <c r="B10" s="1" t="s">
        <v>139</v>
      </c>
      <c r="C10" s="1" t="s">
        <v>145</v>
      </c>
      <c r="D10" s="1" t="s">
        <v>141</v>
      </c>
      <c r="E10" s="1" t="s">
        <v>146</v>
      </c>
      <c r="F10" s="1" t="s">
        <v>147</v>
      </c>
      <c r="G10" s="1" t="s">
        <v>11</v>
      </c>
      <c r="H10" s="1" t="s">
        <v>11</v>
      </c>
      <c r="I10" s="1" t="s">
        <v>11</v>
      </c>
    </row>
    <row r="11" spans="1:9" x14ac:dyDescent="0.25">
      <c r="A11">
        <v>1</v>
      </c>
      <c r="B11" s="1" t="s">
        <v>206</v>
      </c>
      <c r="C11" s="1" t="s">
        <v>206</v>
      </c>
      <c r="D11" s="1" t="s">
        <v>206</v>
      </c>
      <c r="E11" s="1" t="s">
        <v>207</v>
      </c>
      <c r="F11" s="1" t="s">
        <v>11</v>
      </c>
      <c r="G11" s="1" t="s">
        <v>11</v>
      </c>
      <c r="H11" s="1" t="s">
        <v>11</v>
      </c>
      <c r="I11" s="1" t="s">
        <v>11</v>
      </c>
    </row>
    <row r="12" spans="1:9" x14ac:dyDescent="0.25">
      <c r="A12">
        <v>3</v>
      </c>
      <c r="B12" s="1" t="s">
        <v>151</v>
      </c>
      <c r="C12" s="1" t="s">
        <v>151</v>
      </c>
      <c r="D12" s="1" t="s">
        <v>151</v>
      </c>
      <c r="E12" s="1" t="s">
        <v>208</v>
      </c>
      <c r="F12" s="1" t="s">
        <v>11</v>
      </c>
      <c r="G12" s="1" t="s">
        <v>11</v>
      </c>
      <c r="H12" s="1" t="s">
        <v>11</v>
      </c>
      <c r="I12" s="1" t="s">
        <v>11</v>
      </c>
    </row>
    <row r="13" spans="1:9" x14ac:dyDescent="0.25">
      <c r="A13">
        <v>1</v>
      </c>
      <c r="B13" s="1" t="s">
        <v>193</v>
      </c>
      <c r="C13" s="1" t="s">
        <v>193</v>
      </c>
      <c r="D13" s="1" t="s">
        <v>193</v>
      </c>
      <c r="E13" s="1" t="s">
        <v>209</v>
      </c>
      <c r="F13" s="1" t="s">
        <v>195</v>
      </c>
      <c r="G13" s="1" t="s">
        <v>11</v>
      </c>
      <c r="H13" s="1" t="s">
        <v>11</v>
      </c>
      <c r="I13" s="1" t="s">
        <v>11</v>
      </c>
    </row>
    <row r="14" spans="1:9" x14ac:dyDescent="0.25">
      <c r="A14">
        <v>1</v>
      </c>
      <c r="B14" s="1" t="s">
        <v>158</v>
      </c>
      <c r="C14" s="1" t="s">
        <v>158</v>
      </c>
      <c r="D14" s="1" t="s">
        <v>158</v>
      </c>
      <c r="E14" s="1" t="s">
        <v>196</v>
      </c>
      <c r="F14" s="1" t="s">
        <v>160</v>
      </c>
      <c r="G14" s="1" t="s">
        <v>11</v>
      </c>
      <c r="H14" s="1" t="s">
        <v>11</v>
      </c>
      <c r="I14" s="1" t="s">
        <v>11</v>
      </c>
    </row>
    <row r="15" spans="1:9" x14ac:dyDescent="0.25">
      <c r="A15">
        <v>1</v>
      </c>
      <c r="B15" s="1" t="s">
        <v>165</v>
      </c>
      <c r="C15" s="1" t="s">
        <v>165</v>
      </c>
      <c r="D15" s="1" t="s">
        <v>166</v>
      </c>
      <c r="E15" s="1" t="s">
        <v>210</v>
      </c>
      <c r="F15" s="1" t="s">
        <v>11</v>
      </c>
      <c r="G15" s="1" t="s">
        <v>11</v>
      </c>
      <c r="H15" s="1" t="s">
        <v>11</v>
      </c>
      <c r="I15" s="1" t="s">
        <v>11</v>
      </c>
    </row>
    <row r="16" spans="1:9" x14ac:dyDescent="0.25">
      <c r="A16">
        <v>4</v>
      </c>
      <c r="B16" s="1" t="s">
        <v>211</v>
      </c>
      <c r="C16" s="1" t="s">
        <v>211</v>
      </c>
      <c r="D16" s="1" t="s">
        <v>212</v>
      </c>
      <c r="E16" s="1" t="s">
        <v>213</v>
      </c>
      <c r="F16" s="1" t="s">
        <v>11</v>
      </c>
      <c r="G16" s="1" t="s">
        <v>11</v>
      </c>
      <c r="H16" s="1" t="s">
        <v>11</v>
      </c>
      <c r="I16" s="1" t="s">
        <v>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1"/>
  <sheetViews>
    <sheetView workbookViewId="0">
      <pane ySplit="1" topLeftCell="A3" activePane="bottomLeft" state="frozen"/>
      <selection pane="bottomLeft" sqref="A1:I51"/>
    </sheetView>
  </sheetViews>
  <sheetFormatPr defaultRowHeight="18.75" x14ac:dyDescent="0.3"/>
  <cols>
    <col min="1" max="1" width="51.140625" style="2" bestFit="1" customWidth="1"/>
    <col min="2" max="2" width="30.28515625" style="2" bestFit="1" customWidth="1"/>
    <col min="3" max="3" width="42.5703125" style="2" bestFit="1" customWidth="1"/>
    <col min="4" max="4" width="12.42578125" style="2" bestFit="1" customWidth="1"/>
    <col min="5" max="5" width="5.42578125" style="2" bestFit="1" customWidth="1"/>
    <col min="6" max="6" width="10" style="2" bestFit="1" customWidth="1"/>
    <col min="7" max="7" width="13.7109375" style="2" bestFit="1" customWidth="1"/>
    <col min="8" max="8" width="15.85546875" style="2" bestFit="1" customWidth="1"/>
    <col min="9" max="9" width="9.7109375" style="2" bestFit="1" customWidth="1"/>
    <col min="10" max="16384" width="9.140625" style="2"/>
  </cols>
  <sheetData>
    <row r="1" spans="1:9" s="10" customFormat="1" x14ac:dyDescent="0.3">
      <c r="A1" s="11" t="s">
        <v>214</v>
      </c>
      <c r="B1" s="11" t="s">
        <v>5</v>
      </c>
      <c r="C1" s="12" t="s">
        <v>3</v>
      </c>
      <c r="D1" s="13" t="s">
        <v>215</v>
      </c>
      <c r="E1" s="12" t="s">
        <v>0</v>
      </c>
      <c r="F1" s="11" t="s">
        <v>216</v>
      </c>
      <c r="G1" s="11" t="s">
        <v>217</v>
      </c>
      <c r="H1" s="11" t="s">
        <v>218</v>
      </c>
      <c r="I1" s="11" t="s">
        <v>219</v>
      </c>
    </row>
    <row r="2" spans="1:9" x14ac:dyDescent="0.3">
      <c r="A2" s="6" t="s">
        <v>73</v>
      </c>
      <c r="B2" s="6" t="s">
        <v>72</v>
      </c>
      <c r="C2" s="6" t="s">
        <v>74</v>
      </c>
      <c r="D2" s="5"/>
      <c r="E2" s="5">
        <v>2</v>
      </c>
      <c r="F2" s="5">
        <f t="shared" ref="F2:F33" si="0">E2*2</f>
        <v>4</v>
      </c>
      <c r="G2" s="5"/>
      <c r="H2" s="5"/>
      <c r="I2" s="5"/>
    </row>
    <row r="3" spans="1:9" x14ac:dyDescent="0.3">
      <c r="A3" s="6" t="s">
        <v>66</v>
      </c>
      <c r="B3" s="6" t="s">
        <v>66</v>
      </c>
      <c r="C3" s="6" t="s">
        <v>66</v>
      </c>
      <c r="D3" s="5"/>
      <c r="E3" s="5">
        <v>12</v>
      </c>
      <c r="F3" s="5">
        <f t="shared" si="0"/>
        <v>24</v>
      </c>
      <c r="G3" s="5"/>
      <c r="H3" s="5"/>
      <c r="I3" s="5"/>
    </row>
    <row r="4" spans="1:9" x14ac:dyDescent="0.3">
      <c r="A4" s="6" t="s">
        <v>119</v>
      </c>
      <c r="B4" s="6" t="s">
        <v>118</v>
      </c>
      <c r="C4" s="6" t="s">
        <v>119</v>
      </c>
      <c r="D4" s="5"/>
      <c r="E4" s="5">
        <v>4</v>
      </c>
      <c r="F4" s="5">
        <f t="shared" si="0"/>
        <v>8</v>
      </c>
      <c r="G4" s="5"/>
      <c r="H4" s="5"/>
      <c r="I4" s="5"/>
    </row>
    <row r="5" spans="1:9" x14ac:dyDescent="0.3">
      <c r="A5" s="6" t="s">
        <v>101</v>
      </c>
      <c r="B5" s="6" t="s">
        <v>101</v>
      </c>
      <c r="C5" s="6" t="s">
        <v>102</v>
      </c>
      <c r="D5" s="5"/>
      <c r="E5" s="5">
        <v>36</v>
      </c>
      <c r="F5" s="5">
        <f t="shared" si="0"/>
        <v>72</v>
      </c>
      <c r="G5" s="5"/>
      <c r="H5" s="5"/>
      <c r="I5" s="5"/>
    </row>
    <row r="6" spans="1:9" x14ac:dyDescent="0.3">
      <c r="A6" s="6" t="s">
        <v>12</v>
      </c>
      <c r="B6" s="6" t="s">
        <v>11</v>
      </c>
      <c r="C6" s="6" t="s">
        <v>13</v>
      </c>
      <c r="D6" s="5"/>
      <c r="E6" s="5">
        <v>3</v>
      </c>
      <c r="F6" s="5">
        <f t="shared" si="0"/>
        <v>6</v>
      </c>
      <c r="G6" s="5"/>
      <c r="H6" s="5"/>
      <c r="I6" s="5"/>
    </row>
    <row r="7" spans="1:9" x14ac:dyDescent="0.3">
      <c r="A7" s="6" t="s">
        <v>51</v>
      </c>
      <c r="B7" s="6" t="s">
        <v>50</v>
      </c>
      <c r="C7" s="6" t="s">
        <v>52</v>
      </c>
      <c r="D7" s="5"/>
      <c r="E7" s="5">
        <v>7</v>
      </c>
      <c r="F7" s="5">
        <f t="shared" si="0"/>
        <v>14</v>
      </c>
      <c r="G7" s="5"/>
      <c r="H7" s="5"/>
      <c r="I7" s="5"/>
    </row>
    <row r="8" spans="1:9" x14ac:dyDescent="0.3">
      <c r="A8" s="6" t="s">
        <v>51</v>
      </c>
      <c r="B8" s="6" t="s">
        <v>54</v>
      </c>
      <c r="C8" s="6" t="s">
        <v>52</v>
      </c>
      <c r="D8" s="5"/>
      <c r="E8" s="5">
        <v>4</v>
      </c>
      <c r="F8" s="5">
        <f t="shared" si="0"/>
        <v>8</v>
      </c>
      <c r="G8" s="5"/>
      <c r="H8" s="5"/>
      <c r="I8" s="5"/>
    </row>
    <row r="9" spans="1:9" x14ac:dyDescent="0.3">
      <c r="A9" s="6" t="s">
        <v>51</v>
      </c>
      <c r="B9" s="6" t="s">
        <v>60</v>
      </c>
      <c r="C9" s="6" t="s">
        <v>52</v>
      </c>
      <c r="D9" s="5"/>
      <c r="E9" s="5">
        <v>3</v>
      </c>
      <c r="F9" s="5">
        <f t="shared" si="0"/>
        <v>6</v>
      </c>
      <c r="G9" s="5"/>
      <c r="H9" s="5"/>
      <c r="I9" s="5"/>
    </row>
    <row r="10" spans="1:9" x14ac:dyDescent="0.3">
      <c r="A10" s="6" t="s">
        <v>51</v>
      </c>
      <c r="B10" s="6" t="s">
        <v>70</v>
      </c>
      <c r="C10" s="6" t="s">
        <v>52</v>
      </c>
      <c r="D10" s="5"/>
      <c r="E10" s="5">
        <v>14</v>
      </c>
      <c r="F10" s="5">
        <f t="shared" si="0"/>
        <v>28</v>
      </c>
      <c r="G10" s="5"/>
      <c r="H10" s="5"/>
      <c r="I10" s="5"/>
    </row>
    <row r="11" spans="1:9" x14ac:dyDescent="0.3">
      <c r="A11" s="6" t="s">
        <v>51</v>
      </c>
      <c r="B11" s="6" t="s">
        <v>79</v>
      </c>
      <c r="C11" s="6" t="s">
        <v>52</v>
      </c>
      <c r="D11" s="5"/>
      <c r="E11" s="5">
        <v>2</v>
      </c>
      <c r="F11" s="5">
        <f t="shared" si="0"/>
        <v>4</v>
      </c>
      <c r="G11" s="5"/>
      <c r="H11" s="5"/>
      <c r="I11" s="5"/>
    </row>
    <row r="12" spans="1:9" x14ac:dyDescent="0.3">
      <c r="A12" s="6" t="s">
        <v>51</v>
      </c>
      <c r="B12" s="6" t="s">
        <v>99</v>
      </c>
      <c r="C12" s="6" t="s">
        <v>52</v>
      </c>
      <c r="D12" s="5"/>
      <c r="E12" s="5">
        <v>4</v>
      </c>
      <c r="F12" s="5">
        <f t="shared" si="0"/>
        <v>8</v>
      </c>
      <c r="G12" s="5"/>
      <c r="H12" s="5"/>
      <c r="I12" s="5"/>
    </row>
    <row r="13" spans="1:9" x14ac:dyDescent="0.3">
      <c r="A13" s="6" t="s">
        <v>51</v>
      </c>
      <c r="B13" s="6" t="s">
        <v>108</v>
      </c>
      <c r="C13" s="6" t="s">
        <v>52</v>
      </c>
      <c r="D13" s="5"/>
      <c r="E13" s="5">
        <v>2</v>
      </c>
      <c r="F13" s="5">
        <f t="shared" si="0"/>
        <v>4</v>
      </c>
      <c r="G13" s="5"/>
      <c r="H13" s="5"/>
      <c r="I13" s="5"/>
    </row>
    <row r="14" spans="1:9" x14ac:dyDescent="0.3">
      <c r="A14" s="6" t="s">
        <v>82</v>
      </c>
      <c r="B14" s="6" t="s">
        <v>81</v>
      </c>
      <c r="C14" s="6" t="s">
        <v>83</v>
      </c>
      <c r="D14" s="5"/>
      <c r="E14" s="5">
        <v>2</v>
      </c>
      <c r="F14" s="5">
        <f t="shared" si="0"/>
        <v>4</v>
      </c>
      <c r="G14" s="5"/>
      <c r="H14" s="5"/>
      <c r="I14" s="5"/>
    </row>
    <row r="15" spans="1:9" x14ac:dyDescent="0.3">
      <c r="A15" s="6" t="s">
        <v>15</v>
      </c>
      <c r="B15" s="6" t="s">
        <v>11</v>
      </c>
      <c r="C15" s="6" t="s">
        <v>16</v>
      </c>
      <c r="D15" s="5"/>
      <c r="E15" s="5">
        <v>1</v>
      </c>
      <c r="F15" s="5">
        <f t="shared" si="0"/>
        <v>2</v>
      </c>
      <c r="G15" s="5"/>
      <c r="H15" s="5"/>
      <c r="I15" s="5"/>
    </row>
    <row r="16" spans="1:9" x14ac:dyDescent="0.3">
      <c r="A16" s="7" t="s">
        <v>19</v>
      </c>
      <c r="B16" s="6" t="s">
        <v>11</v>
      </c>
      <c r="C16" s="6" t="s">
        <v>20</v>
      </c>
      <c r="D16" s="5"/>
      <c r="E16" s="5">
        <v>1</v>
      </c>
      <c r="F16" s="5">
        <f t="shared" si="0"/>
        <v>2</v>
      </c>
      <c r="G16" s="5"/>
      <c r="H16" s="5"/>
      <c r="I16" s="5"/>
    </row>
    <row r="17" spans="1:9" x14ac:dyDescent="0.3">
      <c r="A17" s="6" t="s">
        <v>22</v>
      </c>
      <c r="B17" s="6" t="s">
        <v>11</v>
      </c>
      <c r="C17" s="6" t="s">
        <v>23</v>
      </c>
      <c r="D17" s="5"/>
      <c r="E17" s="5">
        <v>1</v>
      </c>
      <c r="F17" s="5">
        <f t="shared" si="0"/>
        <v>2</v>
      </c>
      <c r="G17" s="5"/>
      <c r="H17" s="5"/>
      <c r="I17" s="5"/>
    </row>
    <row r="18" spans="1:9" x14ac:dyDescent="0.3">
      <c r="A18" s="6" t="s">
        <v>26</v>
      </c>
      <c r="B18" s="6" t="s">
        <v>11</v>
      </c>
      <c r="C18" s="6" t="s">
        <v>27</v>
      </c>
      <c r="D18" s="5"/>
      <c r="E18" s="5">
        <v>1</v>
      </c>
      <c r="F18" s="5">
        <f t="shared" si="0"/>
        <v>2</v>
      </c>
      <c r="G18" s="5"/>
      <c r="H18" s="5"/>
      <c r="I18" s="5"/>
    </row>
    <row r="19" spans="1:9" x14ac:dyDescent="0.3">
      <c r="A19" s="6" t="s">
        <v>148</v>
      </c>
      <c r="B19" s="6" t="s">
        <v>148</v>
      </c>
      <c r="C19" s="6" t="s">
        <v>149</v>
      </c>
      <c r="D19" s="5"/>
      <c r="E19" s="5">
        <v>1</v>
      </c>
      <c r="F19" s="5">
        <f t="shared" si="0"/>
        <v>2</v>
      </c>
      <c r="G19" s="5"/>
      <c r="H19" s="5"/>
      <c r="I19" s="5"/>
    </row>
    <row r="20" spans="1:9" x14ac:dyDescent="0.3">
      <c r="A20" s="6" t="s">
        <v>29</v>
      </c>
      <c r="B20" s="6" t="s">
        <v>11</v>
      </c>
      <c r="C20" s="6" t="s">
        <v>30</v>
      </c>
      <c r="D20" s="5"/>
      <c r="E20" s="5">
        <v>1</v>
      </c>
      <c r="F20" s="5">
        <f t="shared" si="0"/>
        <v>2</v>
      </c>
      <c r="G20" s="5"/>
      <c r="H20" s="5"/>
      <c r="I20" s="5"/>
    </row>
    <row r="21" spans="1:9" x14ac:dyDescent="0.3">
      <c r="A21" s="6" t="s">
        <v>122</v>
      </c>
      <c r="B21" s="6" t="s">
        <v>121</v>
      </c>
      <c r="C21" s="6" t="s">
        <v>123</v>
      </c>
      <c r="D21" s="5"/>
      <c r="E21" s="5">
        <v>1</v>
      </c>
      <c r="F21" s="5">
        <f t="shared" si="0"/>
        <v>2</v>
      </c>
      <c r="G21" s="5"/>
      <c r="H21" s="5"/>
      <c r="I21" s="5"/>
    </row>
    <row r="22" spans="1:9" x14ac:dyDescent="0.3">
      <c r="A22" s="6" t="s">
        <v>162</v>
      </c>
      <c r="B22" s="6" t="s">
        <v>161</v>
      </c>
      <c r="C22" s="6" t="s">
        <v>163</v>
      </c>
      <c r="D22" s="5"/>
      <c r="E22" s="5">
        <v>2</v>
      </c>
      <c r="F22" s="5">
        <f t="shared" si="0"/>
        <v>4</v>
      </c>
      <c r="G22" s="5"/>
      <c r="H22" s="5"/>
      <c r="I22" s="5"/>
    </row>
    <row r="23" spans="1:9" x14ac:dyDescent="0.3">
      <c r="A23" s="6" t="s">
        <v>94</v>
      </c>
      <c r="B23" s="6" t="s">
        <v>93</v>
      </c>
      <c r="C23" s="6" t="s">
        <v>95</v>
      </c>
      <c r="D23" s="5"/>
      <c r="E23" s="5">
        <v>2</v>
      </c>
      <c r="F23" s="5">
        <f t="shared" si="0"/>
        <v>4</v>
      </c>
      <c r="G23" s="5"/>
      <c r="H23" s="5"/>
      <c r="I23" s="5"/>
    </row>
    <row r="24" spans="1:9" x14ac:dyDescent="0.3">
      <c r="A24" s="6" t="s">
        <v>63</v>
      </c>
      <c r="B24" s="6" t="s">
        <v>62</v>
      </c>
      <c r="C24" s="6" t="s">
        <v>64</v>
      </c>
      <c r="D24" s="5"/>
      <c r="E24" s="5">
        <v>2</v>
      </c>
      <c r="F24" s="5">
        <f t="shared" si="0"/>
        <v>4</v>
      </c>
      <c r="G24" s="5"/>
      <c r="H24" s="5"/>
      <c r="I24" s="5"/>
    </row>
    <row r="25" spans="1:9" x14ac:dyDescent="0.3">
      <c r="A25" s="6" t="s">
        <v>145</v>
      </c>
      <c r="B25" s="6" t="s">
        <v>139</v>
      </c>
      <c r="C25" s="6" t="s">
        <v>141</v>
      </c>
      <c r="D25" s="5"/>
      <c r="E25" s="5">
        <v>1</v>
      </c>
      <c r="F25" s="5">
        <f t="shared" si="0"/>
        <v>2</v>
      </c>
      <c r="G25" s="5"/>
      <c r="H25" s="5"/>
      <c r="I25" s="5"/>
    </row>
    <row r="26" spans="1:9" x14ac:dyDescent="0.3">
      <c r="A26" s="6" t="s">
        <v>140</v>
      </c>
      <c r="B26" s="6" t="s">
        <v>139</v>
      </c>
      <c r="C26" s="6" t="s">
        <v>141</v>
      </c>
      <c r="D26" s="5"/>
      <c r="E26" s="5">
        <v>4</v>
      </c>
      <c r="F26" s="5">
        <f t="shared" si="0"/>
        <v>8</v>
      </c>
      <c r="G26" s="5"/>
      <c r="H26" s="5"/>
      <c r="I26" s="5"/>
    </row>
    <row r="27" spans="1:9" x14ac:dyDescent="0.3">
      <c r="A27" s="6" t="s">
        <v>154</v>
      </c>
      <c r="B27" s="6" t="s">
        <v>153</v>
      </c>
      <c r="C27" s="6" t="s">
        <v>141</v>
      </c>
      <c r="D27" s="5"/>
      <c r="E27" s="5">
        <v>4</v>
      </c>
      <c r="F27" s="5">
        <f t="shared" si="0"/>
        <v>8</v>
      </c>
      <c r="G27" s="5"/>
      <c r="H27" s="5"/>
      <c r="I27" s="5"/>
    </row>
    <row r="28" spans="1:9" x14ac:dyDescent="0.3">
      <c r="A28" s="6" t="s">
        <v>32</v>
      </c>
      <c r="B28" s="6" t="s">
        <v>11</v>
      </c>
      <c r="C28" s="6" t="s">
        <v>33</v>
      </c>
      <c r="D28" s="5"/>
      <c r="E28" s="5">
        <v>36</v>
      </c>
      <c r="F28" s="5">
        <f t="shared" si="0"/>
        <v>72</v>
      </c>
      <c r="G28" s="5"/>
      <c r="H28" s="5"/>
      <c r="I28" s="5"/>
    </row>
    <row r="29" spans="1:9" x14ac:dyDescent="0.3">
      <c r="A29" s="6" t="s">
        <v>151</v>
      </c>
      <c r="B29" s="6" t="s">
        <v>151</v>
      </c>
      <c r="C29" s="6" t="s">
        <v>151</v>
      </c>
      <c r="D29" s="5"/>
      <c r="E29" s="5">
        <v>2</v>
      </c>
      <c r="F29" s="5">
        <f t="shared" si="0"/>
        <v>4</v>
      </c>
      <c r="G29" s="5"/>
      <c r="H29" s="5"/>
      <c r="I29" s="5"/>
    </row>
    <row r="30" spans="1:9" x14ac:dyDescent="0.3">
      <c r="A30" s="6" t="s">
        <v>127</v>
      </c>
      <c r="B30" s="6" t="s">
        <v>126</v>
      </c>
      <c r="C30" s="6" t="s">
        <v>128</v>
      </c>
      <c r="D30" s="5"/>
      <c r="E30" s="5">
        <v>1</v>
      </c>
      <c r="F30" s="5">
        <f t="shared" si="0"/>
        <v>2</v>
      </c>
      <c r="G30" s="5"/>
      <c r="H30" s="5"/>
      <c r="I30" s="5"/>
    </row>
    <row r="31" spans="1:9" x14ac:dyDescent="0.3">
      <c r="A31" s="6" t="s">
        <v>134</v>
      </c>
      <c r="B31" s="6" t="s">
        <v>133</v>
      </c>
      <c r="C31" s="6" t="s">
        <v>135</v>
      </c>
      <c r="D31" s="5"/>
      <c r="E31" s="5">
        <v>4</v>
      </c>
      <c r="F31" s="5">
        <f t="shared" si="0"/>
        <v>8</v>
      </c>
      <c r="G31" s="5"/>
      <c r="H31" s="5"/>
      <c r="I31" s="5"/>
    </row>
    <row r="32" spans="1:9" x14ac:dyDescent="0.3">
      <c r="A32" s="6" t="s">
        <v>57</v>
      </c>
      <c r="B32" s="6" t="s">
        <v>56</v>
      </c>
      <c r="C32" s="6" t="s">
        <v>58</v>
      </c>
      <c r="D32" s="5"/>
      <c r="E32" s="5">
        <v>16</v>
      </c>
      <c r="F32" s="5">
        <f t="shared" si="0"/>
        <v>32</v>
      </c>
      <c r="G32" s="5"/>
      <c r="H32" s="5"/>
      <c r="I32" s="5"/>
    </row>
    <row r="33" spans="1:9" x14ac:dyDescent="0.3">
      <c r="A33" s="6" t="s">
        <v>57</v>
      </c>
      <c r="B33" s="6" t="s">
        <v>68</v>
      </c>
      <c r="C33" s="6" t="s">
        <v>58</v>
      </c>
      <c r="D33" s="5"/>
      <c r="E33" s="5">
        <v>29</v>
      </c>
      <c r="F33" s="5">
        <f t="shared" si="0"/>
        <v>58</v>
      </c>
      <c r="G33" s="5"/>
      <c r="H33" s="5"/>
      <c r="I33" s="5"/>
    </row>
    <row r="34" spans="1:9" x14ac:dyDescent="0.3">
      <c r="A34" s="6" t="s">
        <v>57</v>
      </c>
      <c r="B34" s="6" t="s">
        <v>85</v>
      </c>
      <c r="C34" s="6" t="s">
        <v>58</v>
      </c>
      <c r="D34" s="5"/>
      <c r="E34" s="5">
        <v>1</v>
      </c>
      <c r="F34" s="5">
        <f t="shared" ref="F34:F51" si="1">E34*2</f>
        <v>2</v>
      </c>
      <c r="G34" s="5"/>
      <c r="H34" s="5"/>
      <c r="I34" s="5"/>
    </row>
    <row r="35" spans="1:9" x14ac:dyDescent="0.3">
      <c r="A35" s="6" t="s">
        <v>57</v>
      </c>
      <c r="B35" s="6" t="s">
        <v>87</v>
      </c>
      <c r="C35" s="6" t="s">
        <v>58</v>
      </c>
      <c r="D35" s="5"/>
      <c r="E35" s="5">
        <v>1</v>
      </c>
      <c r="F35" s="5">
        <f t="shared" si="1"/>
        <v>2</v>
      </c>
      <c r="G35" s="5"/>
      <c r="H35" s="5"/>
      <c r="I35" s="5"/>
    </row>
    <row r="36" spans="1:9" x14ac:dyDescent="0.3">
      <c r="A36" s="6" t="s">
        <v>57</v>
      </c>
      <c r="B36" s="6" t="s">
        <v>89</v>
      </c>
      <c r="C36" s="6" t="s">
        <v>58</v>
      </c>
      <c r="D36" s="5"/>
      <c r="E36" s="5">
        <v>1</v>
      </c>
      <c r="F36" s="5">
        <f t="shared" si="1"/>
        <v>2</v>
      </c>
      <c r="G36" s="5"/>
      <c r="H36" s="5"/>
      <c r="I36" s="5"/>
    </row>
    <row r="37" spans="1:9" x14ac:dyDescent="0.3">
      <c r="A37" s="6" t="s">
        <v>57</v>
      </c>
      <c r="B37" s="6" t="s">
        <v>91</v>
      </c>
      <c r="C37" s="6" t="s">
        <v>58</v>
      </c>
      <c r="D37" s="5"/>
      <c r="E37" s="5">
        <v>8</v>
      </c>
      <c r="F37" s="5">
        <f t="shared" si="1"/>
        <v>16</v>
      </c>
      <c r="G37" s="5"/>
      <c r="H37" s="5"/>
      <c r="I37" s="5"/>
    </row>
    <row r="38" spans="1:9" x14ac:dyDescent="0.3">
      <c r="A38" s="6" t="s">
        <v>57</v>
      </c>
      <c r="B38" s="6" t="s">
        <v>104</v>
      </c>
      <c r="C38" s="6" t="s">
        <v>58</v>
      </c>
      <c r="D38" s="5"/>
      <c r="E38" s="5">
        <v>3</v>
      </c>
      <c r="F38" s="5">
        <f t="shared" si="1"/>
        <v>6</v>
      </c>
      <c r="G38" s="5"/>
      <c r="H38" s="5"/>
      <c r="I38" s="5"/>
    </row>
    <row r="39" spans="1:9" x14ac:dyDescent="0.3">
      <c r="A39" s="6" t="s">
        <v>57</v>
      </c>
      <c r="B39" s="6" t="s">
        <v>106</v>
      </c>
      <c r="C39" s="6" t="s">
        <v>58</v>
      </c>
      <c r="D39" s="5"/>
      <c r="E39" s="5">
        <v>6</v>
      </c>
      <c r="F39" s="5">
        <f t="shared" si="1"/>
        <v>12</v>
      </c>
      <c r="G39" s="5"/>
      <c r="H39" s="5"/>
      <c r="I39" s="5"/>
    </row>
    <row r="40" spans="1:9" x14ac:dyDescent="0.3">
      <c r="A40" s="6" t="s">
        <v>57</v>
      </c>
      <c r="B40" s="6" t="s">
        <v>110</v>
      </c>
      <c r="C40" s="6" t="s">
        <v>58</v>
      </c>
      <c r="D40" s="5"/>
      <c r="E40" s="5">
        <v>1</v>
      </c>
      <c r="F40" s="5">
        <f t="shared" si="1"/>
        <v>2</v>
      </c>
      <c r="G40" s="5"/>
      <c r="H40" s="5"/>
      <c r="I40" s="5"/>
    </row>
    <row r="41" spans="1:9" x14ac:dyDescent="0.3">
      <c r="A41" s="6" t="s">
        <v>57</v>
      </c>
      <c r="B41" s="6" t="s">
        <v>112</v>
      </c>
      <c r="C41" s="6" t="s">
        <v>58</v>
      </c>
      <c r="D41" s="5"/>
      <c r="E41" s="5">
        <v>1</v>
      </c>
      <c r="F41" s="5">
        <f t="shared" si="1"/>
        <v>2</v>
      </c>
      <c r="G41" s="5"/>
      <c r="H41" s="5"/>
      <c r="I41" s="5"/>
    </row>
    <row r="42" spans="1:9" x14ac:dyDescent="0.3">
      <c r="A42" s="6" t="s">
        <v>57</v>
      </c>
      <c r="B42" s="6" t="s">
        <v>114</v>
      </c>
      <c r="C42" s="6" t="s">
        <v>58</v>
      </c>
      <c r="D42" s="5"/>
      <c r="E42" s="5">
        <v>1</v>
      </c>
      <c r="F42" s="5">
        <f t="shared" si="1"/>
        <v>2</v>
      </c>
      <c r="G42" s="5"/>
      <c r="H42" s="5"/>
      <c r="I42" s="5"/>
    </row>
    <row r="43" spans="1:9" x14ac:dyDescent="0.3">
      <c r="A43" s="6" t="s">
        <v>57</v>
      </c>
      <c r="B43" s="6" t="s">
        <v>116</v>
      </c>
      <c r="C43" s="6" t="s">
        <v>58</v>
      </c>
      <c r="D43" s="5"/>
      <c r="E43" s="5">
        <v>1</v>
      </c>
      <c r="F43" s="5">
        <f t="shared" si="1"/>
        <v>2</v>
      </c>
      <c r="G43" s="5"/>
      <c r="H43" s="5"/>
      <c r="I43" s="5"/>
    </row>
    <row r="44" spans="1:9" x14ac:dyDescent="0.3">
      <c r="A44" s="6" t="s">
        <v>158</v>
      </c>
      <c r="B44" s="6" t="s">
        <v>158</v>
      </c>
      <c r="C44" s="6" t="s">
        <v>158</v>
      </c>
      <c r="D44" s="5"/>
      <c r="E44" s="5">
        <v>1</v>
      </c>
      <c r="F44" s="5">
        <f t="shared" si="1"/>
        <v>2</v>
      </c>
      <c r="G44" s="5"/>
      <c r="H44" s="5"/>
      <c r="I44" s="5"/>
    </row>
    <row r="45" spans="1:9" x14ac:dyDescent="0.3">
      <c r="A45" s="6" t="s">
        <v>38</v>
      </c>
      <c r="B45" s="6" t="s">
        <v>11</v>
      </c>
      <c r="C45" s="6" t="s">
        <v>39</v>
      </c>
      <c r="D45" s="5"/>
      <c r="E45" s="5">
        <v>2</v>
      </c>
      <c r="F45" s="5">
        <f t="shared" si="1"/>
        <v>4</v>
      </c>
      <c r="G45" s="5"/>
      <c r="H45" s="5"/>
      <c r="I45" s="5"/>
    </row>
    <row r="46" spans="1:9" x14ac:dyDescent="0.3">
      <c r="A46" s="6" t="s">
        <v>165</v>
      </c>
      <c r="B46" s="6" t="s">
        <v>165</v>
      </c>
      <c r="C46" s="6" t="s">
        <v>166</v>
      </c>
      <c r="D46" s="5"/>
      <c r="E46" s="5">
        <v>1</v>
      </c>
      <c r="F46" s="5">
        <f t="shared" si="1"/>
        <v>2</v>
      </c>
      <c r="G46" s="5"/>
      <c r="H46" s="5"/>
      <c r="I46" s="5"/>
    </row>
    <row r="47" spans="1:9" x14ac:dyDescent="0.3">
      <c r="A47" s="6" t="s">
        <v>41</v>
      </c>
      <c r="B47" s="6" t="s">
        <v>11</v>
      </c>
      <c r="C47" s="6" t="s">
        <v>42</v>
      </c>
      <c r="D47" s="5"/>
      <c r="E47" s="5">
        <v>2</v>
      </c>
      <c r="F47" s="5">
        <f t="shared" si="1"/>
        <v>4</v>
      </c>
      <c r="G47" s="5"/>
      <c r="H47" s="5"/>
      <c r="I47" s="5"/>
    </row>
    <row r="48" spans="1:9" x14ac:dyDescent="0.3">
      <c r="A48" s="6" t="s">
        <v>47</v>
      </c>
      <c r="B48" s="6" t="s">
        <v>11</v>
      </c>
      <c r="C48" s="6" t="s">
        <v>48</v>
      </c>
      <c r="D48" s="5"/>
      <c r="E48" s="5">
        <v>2</v>
      </c>
      <c r="F48" s="5">
        <f t="shared" si="1"/>
        <v>4</v>
      </c>
      <c r="G48" s="5"/>
      <c r="H48" s="5"/>
      <c r="I48" s="5"/>
    </row>
    <row r="49" spans="1:9" x14ac:dyDescent="0.3">
      <c r="A49" s="6" t="s">
        <v>168</v>
      </c>
      <c r="B49" s="6" t="s">
        <v>168</v>
      </c>
      <c r="C49" s="6" t="s">
        <v>169</v>
      </c>
      <c r="D49" s="5"/>
      <c r="E49" s="5">
        <v>4</v>
      </c>
      <c r="F49" s="5">
        <f t="shared" si="1"/>
        <v>8</v>
      </c>
      <c r="G49" s="5"/>
      <c r="H49" s="5"/>
      <c r="I49" s="5"/>
    </row>
    <row r="50" spans="1:9" x14ac:dyDescent="0.3">
      <c r="A50" s="6" t="s">
        <v>171</v>
      </c>
      <c r="B50" s="6" t="s">
        <v>171</v>
      </c>
      <c r="C50" s="6" t="s">
        <v>171</v>
      </c>
      <c r="D50" s="5"/>
      <c r="E50" s="5">
        <v>5</v>
      </c>
      <c r="F50" s="5">
        <f t="shared" si="1"/>
        <v>10</v>
      </c>
      <c r="G50" s="5"/>
      <c r="H50" s="5"/>
      <c r="I50" s="5"/>
    </row>
    <row r="51" spans="1:9" x14ac:dyDescent="0.3">
      <c r="A51" s="7" t="s">
        <v>173</v>
      </c>
      <c r="B51" s="7" t="s">
        <v>173</v>
      </c>
      <c r="C51" s="6" t="s">
        <v>174</v>
      </c>
      <c r="D51" s="5"/>
      <c r="E51" s="5">
        <v>1</v>
      </c>
      <c r="F51" s="5">
        <f t="shared" si="1"/>
        <v>2</v>
      </c>
      <c r="G51" s="5"/>
      <c r="H51" s="5"/>
      <c r="I51" s="5"/>
    </row>
  </sheetData>
  <sortState ref="A2:I51">
    <sortCondition ref="A1"/>
  </sortState>
  <conditionalFormatting sqref="A1:A1048576">
    <cfRule type="duplicateValues" dxfId="10" priority="2"/>
  </conditionalFormatting>
  <conditionalFormatting sqref="B1:B1048576">
    <cfRule type="duplicateValues" dxfId="9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4"/>
  <sheetViews>
    <sheetView workbookViewId="0">
      <selection activeCell="A2" sqref="A2:I24"/>
    </sheetView>
  </sheetViews>
  <sheetFormatPr defaultRowHeight="15.75" x14ac:dyDescent="0.25"/>
  <cols>
    <col min="1" max="1" width="43.140625" style="3" bestFit="1" customWidth="1"/>
    <col min="2" max="2" width="31.28515625" style="3" bestFit="1" customWidth="1"/>
    <col min="3" max="3" width="42.5703125" style="3" bestFit="1" customWidth="1"/>
    <col min="4" max="4" width="10.28515625" style="3" bestFit="1" customWidth="1"/>
    <col min="5" max="5" width="4.85546875" style="3" bestFit="1" customWidth="1"/>
    <col min="6" max="6" width="10" style="3" bestFit="1" customWidth="1"/>
    <col min="7" max="7" width="11.140625" style="3" bestFit="1" customWidth="1"/>
    <col min="8" max="8" width="13" style="3" bestFit="1" customWidth="1"/>
    <col min="9" max="9" width="9.7109375" style="3" bestFit="1" customWidth="1"/>
    <col min="10" max="16384" width="9.140625" style="3"/>
  </cols>
  <sheetData>
    <row r="1" spans="1:9" s="5" customFormat="1" x14ac:dyDescent="0.25">
      <c r="A1" s="11" t="s">
        <v>214</v>
      </c>
      <c r="B1" s="11" t="s">
        <v>5</v>
      </c>
      <c r="C1" s="12" t="s">
        <v>3</v>
      </c>
      <c r="D1" s="13" t="s">
        <v>215</v>
      </c>
      <c r="E1" s="12" t="s">
        <v>0</v>
      </c>
      <c r="F1" s="11" t="s">
        <v>216</v>
      </c>
      <c r="G1" s="11" t="s">
        <v>217</v>
      </c>
      <c r="H1" s="11" t="s">
        <v>218</v>
      </c>
      <c r="I1" s="11" t="s">
        <v>219</v>
      </c>
    </row>
    <row r="2" spans="1:9" x14ac:dyDescent="0.25">
      <c r="A2" s="8" t="s">
        <v>51</v>
      </c>
      <c r="B2" s="8" t="s">
        <v>11</v>
      </c>
      <c r="C2" s="8" t="s">
        <v>52</v>
      </c>
      <c r="D2" s="5"/>
      <c r="E2" s="9">
        <v>24</v>
      </c>
      <c r="F2" s="5">
        <f t="shared" ref="F2:F24" si="0">E2*2</f>
        <v>48</v>
      </c>
      <c r="G2" s="5"/>
      <c r="H2" s="5"/>
      <c r="I2" s="5"/>
    </row>
    <row r="3" spans="1:9" x14ac:dyDescent="0.25">
      <c r="A3" s="8" t="s">
        <v>51</v>
      </c>
      <c r="B3" s="8" t="s">
        <v>70</v>
      </c>
      <c r="C3" s="8" t="s">
        <v>52</v>
      </c>
      <c r="D3" s="5"/>
      <c r="E3" s="9">
        <v>4</v>
      </c>
      <c r="F3" s="5">
        <f t="shared" si="0"/>
        <v>8</v>
      </c>
      <c r="G3" s="5"/>
      <c r="H3" s="5"/>
      <c r="I3" s="5"/>
    </row>
    <row r="4" spans="1:9" x14ac:dyDescent="0.25">
      <c r="A4" s="8" t="s">
        <v>51</v>
      </c>
      <c r="B4" s="8" t="s">
        <v>79</v>
      </c>
      <c r="C4" s="8" t="s">
        <v>52</v>
      </c>
      <c r="D4" s="5"/>
      <c r="E4" s="9">
        <v>2</v>
      </c>
      <c r="F4" s="5">
        <f t="shared" si="0"/>
        <v>4</v>
      </c>
      <c r="G4" s="5"/>
      <c r="H4" s="5"/>
      <c r="I4" s="5"/>
    </row>
    <row r="5" spans="1:9" x14ac:dyDescent="0.25">
      <c r="A5" s="8" t="s">
        <v>19</v>
      </c>
      <c r="B5" s="8" t="s">
        <v>11</v>
      </c>
      <c r="C5" s="8" t="s">
        <v>20</v>
      </c>
      <c r="D5" s="5"/>
      <c r="E5" s="9">
        <v>1</v>
      </c>
      <c r="F5" s="5">
        <f t="shared" si="0"/>
        <v>2</v>
      </c>
      <c r="G5" s="5"/>
      <c r="H5" s="5"/>
      <c r="I5" s="5"/>
    </row>
    <row r="6" spans="1:9" x14ac:dyDescent="0.25">
      <c r="A6" s="8" t="s">
        <v>26</v>
      </c>
      <c r="B6" s="8" t="s">
        <v>11</v>
      </c>
      <c r="C6" s="8" t="s">
        <v>27</v>
      </c>
      <c r="D6" s="5"/>
      <c r="E6" s="9">
        <v>1</v>
      </c>
      <c r="F6" s="5">
        <f t="shared" si="0"/>
        <v>2</v>
      </c>
      <c r="G6" s="5"/>
      <c r="H6" s="5"/>
      <c r="I6" s="5"/>
    </row>
    <row r="7" spans="1:9" x14ac:dyDescent="0.25">
      <c r="A7" s="8" t="s">
        <v>148</v>
      </c>
      <c r="B7" s="8" t="s">
        <v>148</v>
      </c>
      <c r="C7" s="8" t="s">
        <v>149</v>
      </c>
      <c r="D7" s="5"/>
      <c r="E7" s="9">
        <v>1</v>
      </c>
      <c r="F7" s="5">
        <f t="shared" si="0"/>
        <v>2</v>
      </c>
      <c r="G7" s="5"/>
      <c r="H7" s="5"/>
      <c r="I7" s="5"/>
    </row>
    <row r="8" spans="1:9" x14ac:dyDescent="0.25">
      <c r="A8" s="8" t="s">
        <v>122</v>
      </c>
      <c r="B8" s="8" t="s">
        <v>121</v>
      </c>
      <c r="C8" s="8" t="s">
        <v>123</v>
      </c>
      <c r="D8" s="5"/>
      <c r="E8" s="9">
        <v>1</v>
      </c>
      <c r="F8" s="5">
        <f t="shared" si="0"/>
        <v>2</v>
      </c>
      <c r="G8" s="5"/>
      <c r="H8" s="5"/>
      <c r="I8" s="5"/>
    </row>
    <row r="9" spans="1:9" x14ac:dyDescent="0.25">
      <c r="A9" s="8" t="s">
        <v>185</v>
      </c>
      <c r="B9" s="8" t="s">
        <v>185</v>
      </c>
      <c r="C9" s="8" t="s">
        <v>186</v>
      </c>
      <c r="D9" s="5"/>
      <c r="E9" s="9">
        <v>1</v>
      </c>
      <c r="F9" s="5">
        <f t="shared" si="0"/>
        <v>2</v>
      </c>
      <c r="G9" s="5"/>
      <c r="H9" s="5"/>
      <c r="I9" s="5"/>
    </row>
    <row r="10" spans="1:9" x14ac:dyDescent="0.25">
      <c r="A10" s="8" t="s">
        <v>189</v>
      </c>
      <c r="B10" s="8" t="s">
        <v>189</v>
      </c>
      <c r="C10" s="8" t="s">
        <v>189</v>
      </c>
      <c r="D10" s="5"/>
      <c r="E10" s="9">
        <v>1</v>
      </c>
      <c r="F10" s="5">
        <f t="shared" si="0"/>
        <v>2</v>
      </c>
      <c r="G10" s="5"/>
      <c r="H10" s="5"/>
      <c r="I10" s="5"/>
    </row>
    <row r="11" spans="1:9" x14ac:dyDescent="0.25">
      <c r="A11" s="8" t="s">
        <v>145</v>
      </c>
      <c r="B11" s="8" t="s">
        <v>139</v>
      </c>
      <c r="C11" s="8" t="s">
        <v>141</v>
      </c>
      <c r="D11" s="5"/>
      <c r="E11" s="9">
        <v>1</v>
      </c>
      <c r="F11" s="5">
        <f t="shared" si="0"/>
        <v>2</v>
      </c>
      <c r="G11" s="5"/>
      <c r="H11" s="5"/>
      <c r="I11" s="5"/>
    </row>
    <row r="12" spans="1:9" x14ac:dyDescent="0.25">
      <c r="A12" s="8" t="s">
        <v>151</v>
      </c>
      <c r="B12" s="8" t="s">
        <v>151</v>
      </c>
      <c r="C12" s="8" t="s">
        <v>151</v>
      </c>
      <c r="D12" s="5"/>
      <c r="E12" s="9">
        <v>2</v>
      </c>
      <c r="F12" s="5">
        <f t="shared" si="0"/>
        <v>4</v>
      </c>
      <c r="G12" s="5"/>
      <c r="H12" s="5"/>
      <c r="I12" s="5"/>
    </row>
    <row r="13" spans="1:9" x14ac:dyDescent="0.25">
      <c r="A13" s="8" t="s">
        <v>127</v>
      </c>
      <c r="B13" s="8" t="s">
        <v>126</v>
      </c>
      <c r="C13" s="8" t="s">
        <v>128</v>
      </c>
      <c r="D13" s="5"/>
      <c r="E13" s="9">
        <v>1</v>
      </c>
      <c r="F13" s="5">
        <f t="shared" si="0"/>
        <v>2</v>
      </c>
      <c r="G13" s="5"/>
      <c r="H13" s="5"/>
      <c r="I13" s="5"/>
    </row>
    <row r="14" spans="1:9" x14ac:dyDescent="0.25">
      <c r="A14" s="8" t="s">
        <v>191</v>
      </c>
      <c r="B14" s="8" t="s">
        <v>191</v>
      </c>
      <c r="C14" s="8" t="s">
        <v>191</v>
      </c>
      <c r="D14" s="5"/>
      <c r="E14" s="9">
        <v>1</v>
      </c>
      <c r="F14" s="5">
        <f t="shared" si="0"/>
        <v>2</v>
      </c>
      <c r="G14" s="5"/>
      <c r="H14" s="5"/>
      <c r="I14" s="5"/>
    </row>
    <row r="15" spans="1:9" x14ac:dyDescent="0.25">
      <c r="A15" s="8" t="s">
        <v>57</v>
      </c>
      <c r="B15" s="8" t="s">
        <v>56</v>
      </c>
      <c r="C15" s="8" t="s">
        <v>58</v>
      </c>
      <c r="D15" s="5"/>
      <c r="E15" s="9">
        <v>6</v>
      </c>
      <c r="F15" s="5">
        <f t="shared" si="0"/>
        <v>12</v>
      </c>
      <c r="G15" s="5"/>
      <c r="H15" s="5"/>
      <c r="I15" s="5"/>
    </row>
    <row r="16" spans="1:9" x14ac:dyDescent="0.25">
      <c r="A16" s="8" t="s">
        <v>57</v>
      </c>
      <c r="B16" s="8" t="s">
        <v>68</v>
      </c>
      <c r="C16" s="8" t="s">
        <v>58</v>
      </c>
      <c r="D16" s="5"/>
      <c r="E16" s="9">
        <v>2</v>
      </c>
      <c r="F16" s="5">
        <f t="shared" si="0"/>
        <v>4</v>
      </c>
      <c r="G16" s="5"/>
      <c r="H16" s="5"/>
      <c r="I16" s="5"/>
    </row>
    <row r="17" spans="1:9" x14ac:dyDescent="0.25">
      <c r="A17" s="8" t="s">
        <v>57</v>
      </c>
      <c r="B17" s="8" t="s">
        <v>106</v>
      </c>
      <c r="C17" s="8" t="s">
        <v>58</v>
      </c>
      <c r="D17" s="5"/>
      <c r="E17" s="9">
        <v>2</v>
      </c>
      <c r="F17" s="5">
        <f t="shared" si="0"/>
        <v>4</v>
      </c>
      <c r="G17" s="5"/>
      <c r="H17" s="5"/>
      <c r="I17" s="5"/>
    </row>
    <row r="18" spans="1:9" x14ac:dyDescent="0.25">
      <c r="A18" s="8" t="s">
        <v>57</v>
      </c>
      <c r="B18" s="8" t="s">
        <v>112</v>
      </c>
      <c r="C18" s="8" t="s">
        <v>58</v>
      </c>
      <c r="D18" s="5"/>
      <c r="E18" s="9">
        <v>1</v>
      </c>
      <c r="F18" s="5">
        <f t="shared" si="0"/>
        <v>2</v>
      </c>
      <c r="G18" s="5"/>
      <c r="H18" s="5"/>
      <c r="I18" s="5"/>
    </row>
    <row r="19" spans="1:9" x14ac:dyDescent="0.25">
      <c r="A19" s="8" t="s">
        <v>193</v>
      </c>
      <c r="B19" s="8" t="s">
        <v>193</v>
      </c>
      <c r="C19" s="8" t="s">
        <v>193</v>
      </c>
      <c r="D19" s="5"/>
      <c r="E19" s="9">
        <v>1</v>
      </c>
      <c r="F19" s="5">
        <f t="shared" si="0"/>
        <v>2</v>
      </c>
      <c r="G19" s="5"/>
      <c r="H19" s="5"/>
      <c r="I19" s="5"/>
    </row>
    <row r="20" spans="1:9" x14ac:dyDescent="0.25">
      <c r="A20" s="8" t="s">
        <v>158</v>
      </c>
      <c r="B20" s="8" t="s">
        <v>158</v>
      </c>
      <c r="C20" s="8" t="s">
        <v>158</v>
      </c>
      <c r="D20" s="5"/>
      <c r="E20" s="9">
        <v>1</v>
      </c>
      <c r="F20" s="5">
        <f t="shared" si="0"/>
        <v>2</v>
      </c>
      <c r="G20" s="5"/>
      <c r="H20" s="5"/>
      <c r="I20" s="5"/>
    </row>
    <row r="21" spans="1:9" x14ac:dyDescent="0.25">
      <c r="A21" s="8" t="s">
        <v>165</v>
      </c>
      <c r="B21" s="8" t="s">
        <v>165</v>
      </c>
      <c r="C21" s="8" t="s">
        <v>166</v>
      </c>
      <c r="D21" s="5"/>
      <c r="E21" s="9">
        <v>1</v>
      </c>
      <c r="F21" s="5">
        <f t="shared" si="0"/>
        <v>2</v>
      </c>
      <c r="G21" s="5"/>
      <c r="H21" s="5"/>
      <c r="I21" s="5"/>
    </row>
    <row r="22" spans="1:9" x14ac:dyDescent="0.25">
      <c r="A22" s="8" t="s">
        <v>41</v>
      </c>
      <c r="B22" s="8" t="s">
        <v>11</v>
      </c>
      <c r="C22" s="8" t="s">
        <v>42</v>
      </c>
      <c r="D22" s="5"/>
      <c r="E22" s="9">
        <v>2</v>
      </c>
      <c r="F22" s="5">
        <f t="shared" si="0"/>
        <v>4</v>
      </c>
      <c r="G22" s="5"/>
      <c r="H22" s="5"/>
      <c r="I22" s="5"/>
    </row>
    <row r="23" spans="1:9" x14ac:dyDescent="0.25">
      <c r="A23" s="8" t="s">
        <v>198</v>
      </c>
      <c r="B23" s="8" t="s">
        <v>198</v>
      </c>
      <c r="C23" s="8" t="s">
        <v>198</v>
      </c>
      <c r="D23" s="5"/>
      <c r="E23" s="9">
        <v>1</v>
      </c>
      <c r="F23" s="5">
        <f t="shared" si="0"/>
        <v>2</v>
      </c>
      <c r="G23" s="5"/>
      <c r="H23" s="5"/>
      <c r="I23" s="5"/>
    </row>
    <row r="24" spans="1:9" x14ac:dyDescent="0.25">
      <c r="A24" s="8" t="s">
        <v>199</v>
      </c>
      <c r="B24" s="8" t="s">
        <v>199</v>
      </c>
      <c r="C24" s="8" t="s">
        <v>199</v>
      </c>
      <c r="D24" s="5"/>
      <c r="E24" s="9">
        <v>24</v>
      </c>
      <c r="F24" s="5">
        <f t="shared" si="0"/>
        <v>48</v>
      </c>
      <c r="G24" s="5"/>
      <c r="H24" s="5"/>
      <c r="I24" s="5"/>
    </row>
  </sheetData>
  <sortState ref="A2:I24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"/>
  <sheetViews>
    <sheetView workbookViewId="0">
      <selection activeCell="A2" sqref="A2:I16"/>
    </sheetView>
  </sheetViews>
  <sheetFormatPr defaultRowHeight="15.75" x14ac:dyDescent="0.25"/>
  <cols>
    <col min="1" max="1" width="43.140625" style="5" bestFit="1" customWidth="1"/>
    <col min="2" max="2" width="30.28515625" style="5" bestFit="1" customWidth="1"/>
    <col min="3" max="3" width="42.5703125" style="5" bestFit="1" customWidth="1"/>
    <col min="4" max="4" width="10.28515625" style="5" bestFit="1" customWidth="1"/>
    <col min="5" max="5" width="4.85546875" style="5" bestFit="1" customWidth="1"/>
    <col min="6" max="6" width="10" style="5" bestFit="1" customWidth="1"/>
    <col min="7" max="7" width="11.140625" style="5" bestFit="1" customWidth="1"/>
    <col min="8" max="8" width="13" style="5" bestFit="1" customWidth="1"/>
    <col min="9" max="9" width="9.7109375" style="5" bestFit="1" customWidth="1"/>
    <col min="10" max="16384" width="9.140625" style="5"/>
  </cols>
  <sheetData>
    <row r="1" spans="1:9" x14ac:dyDescent="0.25">
      <c r="A1" s="11" t="s">
        <v>214</v>
      </c>
      <c r="B1" s="11" t="s">
        <v>5</v>
      </c>
      <c r="C1" s="12" t="s">
        <v>3</v>
      </c>
      <c r="D1" s="13" t="s">
        <v>215</v>
      </c>
      <c r="E1" s="12" t="s">
        <v>0</v>
      </c>
      <c r="F1" s="11" t="s">
        <v>216</v>
      </c>
      <c r="G1" s="11" t="s">
        <v>217</v>
      </c>
      <c r="H1" s="11" t="s">
        <v>218</v>
      </c>
      <c r="I1" s="11" t="s">
        <v>219</v>
      </c>
    </row>
    <row r="2" spans="1:9" x14ac:dyDescent="0.25">
      <c r="A2" s="8" t="s">
        <v>206</v>
      </c>
      <c r="B2" s="8" t="s">
        <v>206</v>
      </c>
      <c r="C2" s="8" t="s">
        <v>206</v>
      </c>
      <c r="E2" s="9">
        <v>1</v>
      </c>
      <c r="F2" s="5">
        <f t="shared" ref="F2:F16" si="0">E2*2</f>
        <v>2</v>
      </c>
    </row>
    <row r="3" spans="1:9" x14ac:dyDescent="0.25">
      <c r="A3" s="8" t="s">
        <v>51</v>
      </c>
      <c r="B3" s="8" t="s">
        <v>70</v>
      </c>
      <c r="C3" s="8" t="s">
        <v>52</v>
      </c>
      <c r="E3" s="9">
        <v>4</v>
      </c>
      <c r="F3" s="5">
        <f t="shared" si="0"/>
        <v>8</v>
      </c>
    </row>
    <row r="4" spans="1:9" x14ac:dyDescent="0.25">
      <c r="A4" s="8" t="s">
        <v>51</v>
      </c>
      <c r="B4" s="8" t="s">
        <v>79</v>
      </c>
      <c r="C4" s="8" t="s">
        <v>52</v>
      </c>
      <c r="E4" s="9">
        <v>2</v>
      </c>
      <c r="F4" s="5">
        <f t="shared" si="0"/>
        <v>4</v>
      </c>
    </row>
    <row r="5" spans="1:9" x14ac:dyDescent="0.25">
      <c r="A5" s="8" t="s">
        <v>122</v>
      </c>
      <c r="B5" s="8" t="s">
        <v>121</v>
      </c>
      <c r="C5" s="8" t="s">
        <v>123</v>
      </c>
      <c r="E5" s="9">
        <v>1</v>
      </c>
      <c r="F5" s="5">
        <f t="shared" si="0"/>
        <v>2</v>
      </c>
    </row>
    <row r="6" spans="1:9" x14ac:dyDescent="0.25">
      <c r="A6" s="8" t="s">
        <v>145</v>
      </c>
      <c r="B6" s="8" t="s">
        <v>11</v>
      </c>
      <c r="C6" s="8" t="s">
        <v>141</v>
      </c>
      <c r="E6" s="9">
        <v>16</v>
      </c>
      <c r="F6" s="5">
        <f t="shared" si="0"/>
        <v>32</v>
      </c>
    </row>
    <row r="7" spans="1:9" x14ac:dyDescent="0.25">
      <c r="A7" s="8" t="s">
        <v>145</v>
      </c>
      <c r="B7" s="8" t="s">
        <v>139</v>
      </c>
      <c r="C7" s="8" t="s">
        <v>141</v>
      </c>
      <c r="E7" s="9">
        <v>1</v>
      </c>
      <c r="F7" s="5">
        <f t="shared" si="0"/>
        <v>2</v>
      </c>
    </row>
    <row r="8" spans="1:9" x14ac:dyDescent="0.25">
      <c r="A8" s="8" t="s">
        <v>151</v>
      </c>
      <c r="B8" s="8" t="s">
        <v>151</v>
      </c>
      <c r="C8" s="8" t="s">
        <v>151</v>
      </c>
      <c r="E8" s="9">
        <v>3</v>
      </c>
      <c r="F8" s="5">
        <f t="shared" si="0"/>
        <v>6</v>
      </c>
    </row>
    <row r="9" spans="1:9" x14ac:dyDescent="0.25">
      <c r="A9" s="8" t="s">
        <v>57</v>
      </c>
      <c r="B9" s="8" t="s">
        <v>56</v>
      </c>
      <c r="C9" s="8" t="s">
        <v>58</v>
      </c>
      <c r="E9" s="9">
        <v>2</v>
      </c>
      <c r="F9" s="5">
        <f t="shared" si="0"/>
        <v>4</v>
      </c>
    </row>
    <row r="10" spans="1:9" x14ac:dyDescent="0.25">
      <c r="A10" s="8" t="s">
        <v>57</v>
      </c>
      <c r="B10" s="8" t="s">
        <v>68</v>
      </c>
      <c r="C10" s="8" t="s">
        <v>58</v>
      </c>
      <c r="E10" s="9">
        <v>3</v>
      </c>
      <c r="F10" s="5">
        <f t="shared" si="0"/>
        <v>6</v>
      </c>
    </row>
    <row r="11" spans="1:9" x14ac:dyDescent="0.25">
      <c r="A11" s="8" t="s">
        <v>57</v>
      </c>
      <c r="B11" s="8" t="s">
        <v>112</v>
      </c>
      <c r="C11" s="8" t="s">
        <v>58</v>
      </c>
      <c r="E11" s="9">
        <v>8</v>
      </c>
      <c r="F11" s="5">
        <f t="shared" si="0"/>
        <v>16</v>
      </c>
    </row>
    <row r="12" spans="1:9" x14ac:dyDescent="0.25">
      <c r="A12" s="8" t="s">
        <v>193</v>
      </c>
      <c r="B12" s="8" t="s">
        <v>193</v>
      </c>
      <c r="C12" s="8" t="s">
        <v>193</v>
      </c>
      <c r="E12" s="9">
        <v>1</v>
      </c>
      <c r="F12" s="5">
        <f t="shared" si="0"/>
        <v>2</v>
      </c>
    </row>
    <row r="13" spans="1:9" x14ac:dyDescent="0.25">
      <c r="A13" s="8" t="s">
        <v>158</v>
      </c>
      <c r="B13" s="8" t="s">
        <v>158</v>
      </c>
      <c r="C13" s="8" t="s">
        <v>158</v>
      </c>
      <c r="E13" s="9">
        <v>1</v>
      </c>
      <c r="F13" s="5">
        <f t="shared" si="0"/>
        <v>2</v>
      </c>
    </row>
    <row r="14" spans="1:9" x14ac:dyDescent="0.25">
      <c r="A14" s="8" t="s">
        <v>165</v>
      </c>
      <c r="B14" s="8" t="s">
        <v>165</v>
      </c>
      <c r="C14" s="8" t="s">
        <v>166</v>
      </c>
      <c r="E14" s="9">
        <v>1</v>
      </c>
      <c r="F14" s="5">
        <f t="shared" si="0"/>
        <v>2</v>
      </c>
    </row>
    <row r="15" spans="1:9" x14ac:dyDescent="0.25">
      <c r="A15" s="8" t="s">
        <v>41</v>
      </c>
      <c r="B15" s="8" t="s">
        <v>11</v>
      </c>
      <c r="C15" s="8" t="s">
        <v>42</v>
      </c>
      <c r="E15" s="9">
        <v>1</v>
      </c>
      <c r="F15" s="5">
        <f t="shared" si="0"/>
        <v>2</v>
      </c>
    </row>
    <row r="16" spans="1:9" x14ac:dyDescent="0.25">
      <c r="A16" s="8" t="s">
        <v>211</v>
      </c>
      <c r="B16" s="8" t="s">
        <v>211</v>
      </c>
      <c r="C16" s="8" t="s">
        <v>212</v>
      </c>
      <c r="E16" s="9">
        <v>4</v>
      </c>
      <c r="F16" s="5">
        <f t="shared" si="0"/>
        <v>8</v>
      </c>
    </row>
  </sheetData>
  <sortState ref="A2:I16">
    <sortCondition ref="A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1:I1"/>
  <sheetViews>
    <sheetView tabSelected="1" workbookViewId="0">
      <selection activeCell="P14" sqref="P13:P14"/>
    </sheetView>
  </sheetViews>
  <sheetFormatPr defaultRowHeight="15.75" x14ac:dyDescent="0.25"/>
  <cols>
    <col min="1" max="1" width="8.28515625" style="3" bestFit="1" customWidth="1"/>
    <col min="2" max="2" width="12" style="3" bestFit="1" customWidth="1"/>
    <col min="3" max="3" width="14.140625" style="3" bestFit="1" customWidth="1"/>
    <col min="4" max="4" width="10.28515625" style="3" bestFit="1" customWidth="1"/>
    <col min="5" max="5" width="12.85546875" style="3" bestFit="1" customWidth="1"/>
    <col min="6" max="6" width="10.28515625" style="3" bestFit="1" customWidth="1"/>
    <col min="7" max="7" width="14.28515625" style="3" bestFit="1" customWidth="1"/>
    <col min="8" max="8" width="10" style="3" bestFit="1" customWidth="1"/>
    <col min="9" max="9" width="11.140625" style="3" bestFit="1" customWidth="1"/>
    <col min="10" max="10" width="13" style="3" bestFit="1" customWidth="1"/>
    <col min="11" max="11" width="9.7109375" style="3" bestFit="1" customWidth="1"/>
    <col min="12" max="12" width="11.5703125" style="3" bestFit="1" customWidth="1"/>
    <col min="13" max="16384" width="9.140625" style="3"/>
  </cols>
  <sheetData>
    <row r="1" spans="3:9" x14ac:dyDescent="0.25">
      <c r="C1" s="14"/>
      <c r="F1" s="4"/>
      <c r="I1" s="15"/>
    </row>
  </sheetData>
  <conditionalFormatting sqref="B1">
    <cfRule type="duplicateValues" dxfId="8" priority="4"/>
  </conditionalFormatting>
  <conditionalFormatting sqref="B1">
    <cfRule type="duplicateValues" dxfId="7" priority="3"/>
  </conditionalFormatting>
  <conditionalFormatting sqref="B1">
    <cfRule type="duplicateValues" dxfId="6" priority="5"/>
  </conditionalFormatting>
  <conditionalFormatting sqref="B1">
    <cfRule type="duplicateValues" dxfId="5" priority="2"/>
  </conditionalFormatting>
  <conditionalFormatting sqref="I1 F1">
    <cfRule type="expression" dxfId="4" priority="1">
      <formula>OR(CELL("format",F1)="C2", CELL("format",F1)="C3")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E4E8-D856-43F3-A20C-1DF77FC79411}">
  <dimension ref="A1:F104"/>
  <sheetViews>
    <sheetView workbookViewId="0">
      <selection activeCell="I31" sqref="I31"/>
    </sheetView>
  </sheetViews>
  <sheetFormatPr defaultRowHeight="15" x14ac:dyDescent="0.25"/>
  <cols>
    <col min="1" max="1" width="40.85546875" bestFit="1" customWidth="1"/>
    <col min="2" max="2" width="28.7109375" bestFit="1" customWidth="1"/>
    <col min="3" max="3" width="37.7109375" bestFit="1" customWidth="1"/>
    <col min="4" max="4" width="12" bestFit="1" customWidth="1"/>
    <col min="5" max="5" width="10.7109375" bestFit="1" customWidth="1"/>
    <col min="6" max="6" width="15.7109375" bestFit="1" customWidth="1"/>
  </cols>
  <sheetData>
    <row r="1" spans="1:6" x14ac:dyDescent="0.25">
      <c r="E1" s="16" t="s">
        <v>224</v>
      </c>
    </row>
    <row r="2" spans="1:6" x14ac:dyDescent="0.25">
      <c r="A2" s="16" t="s">
        <v>214</v>
      </c>
      <c r="B2" s="16" t="s">
        <v>5</v>
      </c>
      <c r="C2" s="16" t="s">
        <v>3</v>
      </c>
      <c r="D2" s="16" t="s">
        <v>215</v>
      </c>
      <c r="E2" t="s">
        <v>221</v>
      </c>
      <c r="F2" t="s">
        <v>222</v>
      </c>
    </row>
    <row r="3" spans="1:6" x14ac:dyDescent="0.25">
      <c r="A3" t="s">
        <v>73</v>
      </c>
      <c r="B3" t="s">
        <v>72</v>
      </c>
      <c r="C3" t="s">
        <v>74</v>
      </c>
      <c r="D3" t="s">
        <v>223</v>
      </c>
      <c r="E3" s="1">
        <v>2</v>
      </c>
      <c r="F3" s="1">
        <v>4</v>
      </c>
    </row>
    <row r="4" spans="1:6" x14ac:dyDescent="0.25">
      <c r="A4" s="17" t="s">
        <v>225</v>
      </c>
      <c r="B4" s="17"/>
      <c r="C4" s="17"/>
      <c r="D4" s="17"/>
      <c r="E4" s="18">
        <v>2</v>
      </c>
      <c r="F4" s="18">
        <v>4</v>
      </c>
    </row>
    <row r="5" spans="1:6" x14ac:dyDescent="0.25">
      <c r="A5" t="s">
        <v>66</v>
      </c>
      <c r="B5" t="s">
        <v>66</v>
      </c>
      <c r="C5" t="s">
        <v>66</v>
      </c>
      <c r="D5" t="s">
        <v>223</v>
      </c>
      <c r="E5" s="1">
        <v>12</v>
      </c>
      <c r="F5" s="1">
        <v>24</v>
      </c>
    </row>
    <row r="6" spans="1:6" x14ac:dyDescent="0.25">
      <c r="A6" s="17" t="s">
        <v>226</v>
      </c>
      <c r="B6" s="17"/>
      <c r="C6" s="17"/>
      <c r="D6" s="17"/>
      <c r="E6" s="18">
        <v>12</v>
      </c>
      <c r="F6" s="18">
        <v>24</v>
      </c>
    </row>
    <row r="7" spans="1:6" x14ac:dyDescent="0.25">
      <c r="A7" t="s">
        <v>119</v>
      </c>
      <c r="B7" t="s">
        <v>118</v>
      </c>
      <c r="C7" t="s">
        <v>119</v>
      </c>
      <c r="D7" t="s">
        <v>223</v>
      </c>
      <c r="E7" s="1">
        <v>4</v>
      </c>
      <c r="F7" s="1">
        <v>8</v>
      </c>
    </row>
    <row r="8" spans="1:6" x14ac:dyDescent="0.25">
      <c r="A8" s="17" t="s">
        <v>227</v>
      </c>
      <c r="B8" s="17"/>
      <c r="C8" s="17"/>
      <c r="D8" s="17"/>
      <c r="E8" s="18">
        <v>4</v>
      </c>
      <c r="F8" s="18">
        <v>8</v>
      </c>
    </row>
    <row r="9" spans="1:6" x14ac:dyDescent="0.25">
      <c r="A9" t="s">
        <v>101</v>
      </c>
      <c r="B9" t="s">
        <v>101</v>
      </c>
      <c r="C9" t="s">
        <v>102</v>
      </c>
      <c r="D9" t="s">
        <v>223</v>
      </c>
      <c r="E9" s="1">
        <v>36</v>
      </c>
      <c r="F9" s="1">
        <v>72</v>
      </c>
    </row>
    <row r="10" spans="1:6" x14ac:dyDescent="0.25">
      <c r="A10" s="17" t="s">
        <v>228</v>
      </c>
      <c r="B10" s="17"/>
      <c r="C10" s="17"/>
      <c r="D10" s="17"/>
      <c r="E10" s="18">
        <v>36</v>
      </c>
      <c r="F10" s="18">
        <v>72</v>
      </c>
    </row>
    <row r="11" spans="1:6" x14ac:dyDescent="0.25">
      <c r="A11" t="s">
        <v>12</v>
      </c>
      <c r="B11" t="s">
        <v>11</v>
      </c>
      <c r="C11" t="s">
        <v>13</v>
      </c>
      <c r="D11" t="s">
        <v>223</v>
      </c>
      <c r="E11" s="1">
        <v>3</v>
      </c>
      <c r="F11" s="1">
        <v>6</v>
      </c>
    </row>
    <row r="12" spans="1:6" x14ac:dyDescent="0.25">
      <c r="A12" s="17" t="s">
        <v>229</v>
      </c>
      <c r="B12" s="17"/>
      <c r="C12" s="17"/>
      <c r="D12" s="17"/>
      <c r="E12" s="18">
        <v>3</v>
      </c>
      <c r="F12" s="18">
        <v>6</v>
      </c>
    </row>
    <row r="13" spans="1:6" x14ac:dyDescent="0.25">
      <c r="A13" t="s">
        <v>206</v>
      </c>
      <c r="B13" t="s">
        <v>206</v>
      </c>
      <c r="C13" t="s">
        <v>206</v>
      </c>
      <c r="D13" t="s">
        <v>223</v>
      </c>
      <c r="E13" s="1">
        <v>1</v>
      </c>
      <c r="F13" s="1">
        <v>2</v>
      </c>
    </row>
    <row r="14" spans="1:6" x14ac:dyDescent="0.25">
      <c r="A14" s="17" t="s">
        <v>230</v>
      </c>
      <c r="B14" s="17"/>
      <c r="C14" s="17"/>
      <c r="D14" s="17"/>
      <c r="E14" s="18">
        <v>1</v>
      </c>
      <c r="F14" s="18">
        <v>2</v>
      </c>
    </row>
    <row r="15" spans="1:6" x14ac:dyDescent="0.25">
      <c r="A15" t="s">
        <v>51</v>
      </c>
      <c r="B15" t="s">
        <v>11</v>
      </c>
      <c r="C15" t="s">
        <v>52</v>
      </c>
      <c r="D15" t="s">
        <v>223</v>
      </c>
      <c r="E15" s="1">
        <v>24</v>
      </c>
      <c r="F15" s="1">
        <v>48</v>
      </c>
    </row>
    <row r="16" spans="1:6" x14ac:dyDescent="0.25">
      <c r="B16" t="s">
        <v>50</v>
      </c>
      <c r="C16" t="s">
        <v>52</v>
      </c>
      <c r="D16" t="s">
        <v>223</v>
      </c>
      <c r="E16" s="1">
        <v>7</v>
      </c>
      <c r="F16" s="1">
        <v>14</v>
      </c>
    </row>
    <row r="17" spans="1:6" x14ac:dyDescent="0.25">
      <c r="B17" t="s">
        <v>54</v>
      </c>
      <c r="C17" t="s">
        <v>52</v>
      </c>
      <c r="D17" t="s">
        <v>223</v>
      </c>
      <c r="E17" s="1">
        <v>4</v>
      </c>
      <c r="F17" s="1">
        <v>8</v>
      </c>
    </row>
    <row r="18" spans="1:6" x14ac:dyDescent="0.25">
      <c r="B18" t="s">
        <v>60</v>
      </c>
      <c r="C18" t="s">
        <v>52</v>
      </c>
      <c r="D18" t="s">
        <v>223</v>
      </c>
      <c r="E18" s="1">
        <v>3</v>
      </c>
      <c r="F18" s="1">
        <v>6</v>
      </c>
    </row>
    <row r="19" spans="1:6" x14ac:dyDescent="0.25">
      <c r="B19" t="s">
        <v>70</v>
      </c>
      <c r="C19" t="s">
        <v>52</v>
      </c>
      <c r="D19" t="s">
        <v>223</v>
      </c>
      <c r="E19" s="1">
        <v>22</v>
      </c>
      <c r="F19" s="1">
        <v>44</v>
      </c>
    </row>
    <row r="20" spans="1:6" x14ac:dyDescent="0.25">
      <c r="B20" t="s">
        <v>79</v>
      </c>
      <c r="C20" t="s">
        <v>52</v>
      </c>
      <c r="D20" t="s">
        <v>223</v>
      </c>
      <c r="E20" s="1">
        <v>6</v>
      </c>
      <c r="F20" s="1">
        <v>12</v>
      </c>
    </row>
    <row r="21" spans="1:6" x14ac:dyDescent="0.25">
      <c r="B21" t="s">
        <v>99</v>
      </c>
      <c r="C21" t="s">
        <v>52</v>
      </c>
      <c r="D21" t="s">
        <v>223</v>
      </c>
      <c r="E21" s="1">
        <v>4</v>
      </c>
      <c r="F21" s="1">
        <v>8</v>
      </c>
    </row>
    <row r="22" spans="1:6" x14ac:dyDescent="0.25">
      <c r="B22" t="s">
        <v>108</v>
      </c>
      <c r="C22" t="s">
        <v>52</v>
      </c>
      <c r="D22" t="s">
        <v>223</v>
      </c>
      <c r="E22" s="1">
        <v>2</v>
      </c>
      <c r="F22" s="1">
        <v>4</v>
      </c>
    </row>
    <row r="23" spans="1:6" x14ac:dyDescent="0.25">
      <c r="A23" s="17" t="s">
        <v>231</v>
      </c>
      <c r="B23" s="17"/>
      <c r="C23" s="17"/>
      <c r="D23" s="17"/>
      <c r="E23" s="18">
        <v>72</v>
      </c>
      <c r="F23" s="18">
        <v>144</v>
      </c>
    </row>
    <row r="24" spans="1:6" x14ac:dyDescent="0.25">
      <c r="A24" t="s">
        <v>82</v>
      </c>
      <c r="B24" t="s">
        <v>81</v>
      </c>
      <c r="C24" t="s">
        <v>83</v>
      </c>
      <c r="D24" t="s">
        <v>223</v>
      </c>
      <c r="E24" s="1">
        <v>2</v>
      </c>
      <c r="F24" s="1">
        <v>4</v>
      </c>
    </row>
    <row r="25" spans="1:6" x14ac:dyDescent="0.25">
      <c r="A25" s="17" t="s">
        <v>232</v>
      </c>
      <c r="B25" s="17"/>
      <c r="C25" s="17"/>
      <c r="D25" s="17"/>
      <c r="E25" s="18">
        <v>2</v>
      </c>
      <c r="F25" s="18">
        <v>4</v>
      </c>
    </row>
    <row r="26" spans="1:6" x14ac:dyDescent="0.25">
      <c r="A26" t="s">
        <v>15</v>
      </c>
      <c r="B26" t="s">
        <v>11</v>
      </c>
      <c r="C26" t="s">
        <v>16</v>
      </c>
      <c r="D26" t="s">
        <v>223</v>
      </c>
      <c r="E26" s="1">
        <v>1</v>
      </c>
      <c r="F26" s="1">
        <v>2</v>
      </c>
    </row>
    <row r="27" spans="1:6" x14ac:dyDescent="0.25">
      <c r="A27" s="17" t="s">
        <v>233</v>
      </c>
      <c r="B27" s="17"/>
      <c r="C27" s="17"/>
      <c r="D27" s="17"/>
      <c r="E27" s="18">
        <v>1</v>
      </c>
      <c r="F27" s="18">
        <v>2</v>
      </c>
    </row>
    <row r="28" spans="1:6" x14ac:dyDescent="0.25">
      <c r="A28" t="s">
        <v>19</v>
      </c>
      <c r="B28" t="s">
        <v>11</v>
      </c>
      <c r="C28" t="s">
        <v>20</v>
      </c>
      <c r="D28" t="s">
        <v>223</v>
      </c>
      <c r="E28" s="1">
        <v>2</v>
      </c>
      <c r="F28" s="1">
        <v>4</v>
      </c>
    </row>
    <row r="29" spans="1:6" x14ac:dyDescent="0.25">
      <c r="A29" s="17" t="s">
        <v>234</v>
      </c>
      <c r="B29" s="17"/>
      <c r="C29" s="17"/>
      <c r="D29" s="17"/>
      <c r="E29" s="18">
        <v>2</v>
      </c>
      <c r="F29" s="18">
        <v>4</v>
      </c>
    </row>
    <row r="30" spans="1:6" x14ac:dyDescent="0.25">
      <c r="A30" t="s">
        <v>22</v>
      </c>
      <c r="B30" t="s">
        <v>11</v>
      </c>
      <c r="C30" t="s">
        <v>23</v>
      </c>
      <c r="D30" t="s">
        <v>223</v>
      </c>
      <c r="E30" s="1">
        <v>1</v>
      </c>
      <c r="F30" s="1">
        <v>2</v>
      </c>
    </row>
    <row r="31" spans="1:6" x14ac:dyDescent="0.25">
      <c r="A31" s="17" t="s">
        <v>235</v>
      </c>
      <c r="B31" s="17"/>
      <c r="C31" s="17"/>
      <c r="D31" s="17"/>
      <c r="E31" s="18">
        <v>1</v>
      </c>
      <c r="F31" s="18">
        <v>2</v>
      </c>
    </row>
    <row r="32" spans="1:6" x14ac:dyDescent="0.25">
      <c r="A32" t="s">
        <v>26</v>
      </c>
      <c r="B32" t="s">
        <v>11</v>
      </c>
      <c r="C32" t="s">
        <v>27</v>
      </c>
      <c r="D32" t="s">
        <v>223</v>
      </c>
      <c r="E32" s="1">
        <v>2</v>
      </c>
      <c r="F32" s="1">
        <v>4</v>
      </c>
    </row>
    <row r="33" spans="1:6" x14ac:dyDescent="0.25">
      <c r="A33" s="17" t="s">
        <v>236</v>
      </c>
      <c r="B33" s="17"/>
      <c r="C33" s="17"/>
      <c r="D33" s="17"/>
      <c r="E33" s="18">
        <v>2</v>
      </c>
      <c r="F33" s="18">
        <v>4</v>
      </c>
    </row>
    <row r="34" spans="1:6" x14ac:dyDescent="0.25">
      <c r="A34" t="s">
        <v>148</v>
      </c>
      <c r="B34" t="s">
        <v>148</v>
      </c>
      <c r="C34" t="s">
        <v>149</v>
      </c>
      <c r="D34" t="s">
        <v>223</v>
      </c>
      <c r="E34" s="1">
        <v>2</v>
      </c>
      <c r="F34" s="1">
        <v>4</v>
      </c>
    </row>
    <row r="35" spans="1:6" x14ac:dyDescent="0.25">
      <c r="A35" s="17" t="s">
        <v>237</v>
      </c>
      <c r="B35" s="17"/>
      <c r="C35" s="17"/>
      <c r="D35" s="17"/>
      <c r="E35" s="18">
        <v>2</v>
      </c>
      <c r="F35" s="18">
        <v>4</v>
      </c>
    </row>
    <row r="36" spans="1:6" x14ac:dyDescent="0.25">
      <c r="A36" t="s">
        <v>29</v>
      </c>
      <c r="B36" t="s">
        <v>11</v>
      </c>
      <c r="C36" t="s">
        <v>30</v>
      </c>
      <c r="D36" t="s">
        <v>223</v>
      </c>
      <c r="E36" s="1">
        <v>1</v>
      </c>
      <c r="F36" s="1">
        <v>2</v>
      </c>
    </row>
    <row r="37" spans="1:6" x14ac:dyDescent="0.25">
      <c r="A37" s="17" t="s">
        <v>238</v>
      </c>
      <c r="B37" s="17"/>
      <c r="C37" s="17"/>
      <c r="D37" s="17"/>
      <c r="E37" s="18">
        <v>1</v>
      </c>
      <c r="F37" s="18">
        <v>2</v>
      </c>
    </row>
    <row r="38" spans="1:6" x14ac:dyDescent="0.25">
      <c r="A38" t="s">
        <v>122</v>
      </c>
      <c r="B38" t="s">
        <v>121</v>
      </c>
      <c r="C38" t="s">
        <v>123</v>
      </c>
      <c r="D38" t="s">
        <v>223</v>
      </c>
      <c r="E38" s="1">
        <v>3</v>
      </c>
      <c r="F38" s="1">
        <v>6</v>
      </c>
    </row>
    <row r="39" spans="1:6" x14ac:dyDescent="0.25">
      <c r="A39" s="17" t="s">
        <v>239</v>
      </c>
      <c r="B39" s="17"/>
      <c r="C39" s="17"/>
      <c r="D39" s="17"/>
      <c r="E39" s="18">
        <v>3</v>
      </c>
      <c r="F39" s="18">
        <v>6</v>
      </c>
    </row>
    <row r="40" spans="1:6" x14ac:dyDescent="0.25">
      <c r="A40" t="s">
        <v>162</v>
      </c>
      <c r="B40" t="s">
        <v>161</v>
      </c>
      <c r="C40" t="s">
        <v>163</v>
      </c>
      <c r="D40" t="s">
        <v>223</v>
      </c>
      <c r="E40" s="1">
        <v>2</v>
      </c>
      <c r="F40" s="1">
        <v>4</v>
      </c>
    </row>
    <row r="41" spans="1:6" x14ac:dyDescent="0.25">
      <c r="A41" s="17" t="s">
        <v>240</v>
      </c>
      <c r="B41" s="17"/>
      <c r="C41" s="17"/>
      <c r="D41" s="17"/>
      <c r="E41" s="18">
        <v>2</v>
      </c>
      <c r="F41" s="18">
        <v>4</v>
      </c>
    </row>
    <row r="42" spans="1:6" x14ac:dyDescent="0.25">
      <c r="A42" t="s">
        <v>185</v>
      </c>
      <c r="B42" t="s">
        <v>185</v>
      </c>
      <c r="C42" t="s">
        <v>186</v>
      </c>
      <c r="D42" t="s">
        <v>223</v>
      </c>
      <c r="E42" s="1">
        <v>1</v>
      </c>
      <c r="F42" s="1">
        <v>2</v>
      </c>
    </row>
    <row r="43" spans="1:6" x14ac:dyDescent="0.25">
      <c r="A43" s="17" t="s">
        <v>241</v>
      </c>
      <c r="B43" s="17"/>
      <c r="C43" s="17"/>
      <c r="D43" s="17"/>
      <c r="E43" s="18">
        <v>1</v>
      </c>
      <c r="F43" s="18">
        <v>2</v>
      </c>
    </row>
    <row r="44" spans="1:6" x14ac:dyDescent="0.25">
      <c r="A44" t="s">
        <v>94</v>
      </c>
      <c r="B44" t="s">
        <v>93</v>
      </c>
      <c r="C44" t="s">
        <v>95</v>
      </c>
      <c r="D44" t="s">
        <v>223</v>
      </c>
      <c r="E44" s="1">
        <v>2</v>
      </c>
      <c r="F44" s="1">
        <v>4</v>
      </c>
    </row>
    <row r="45" spans="1:6" x14ac:dyDescent="0.25">
      <c r="A45" s="17" t="s">
        <v>242</v>
      </c>
      <c r="B45" s="17"/>
      <c r="C45" s="17"/>
      <c r="D45" s="17"/>
      <c r="E45" s="18">
        <v>2</v>
      </c>
      <c r="F45" s="18">
        <v>4</v>
      </c>
    </row>
    <row r="46" spans="1:6" x14ac:dyDescent="0.25">
      <c r="A46" t="s">
        <v>189</v>
      </c>
      <c r="B46" t="s">
        <v>189</v>
      </c>
      <c r="C46" t="s">
        <v>189</v>
      </c>
      <c r="D46" t="s">
        <v>223</v>
      </c>
      <c r="E46" s="1">
        <v>1</v>
      </c>
      <c r="F46" s="1">
        <v>2</v>
      </c>
    </row>
    <row r="47" spans="1:6" x14ac:dyDescent="0.25">
      <c r="A47" s="17" t="s">
        <v>243</v>
      </c>
      <c r="B47" s="17"/>
      <c r="C47" s="17"/>
      <c r="D47" s="17"/>
      <c r="E47" s="18">
        <v>1</v>
      </c>
      <c r="F47" s="18">
        <v>2</v>
      </c>
    </row>
    <row r="48" spans="1:6" x14ac:dyDescent="0.25">
      <c r="A48" t="s">
        <v>63</v>
      </c>
      <c r="B48" t="s">
        <v>62</v>
      </c>
      <c r="C48" t="s">
        <v>64</v>
      </c>
      <c r="D48" t="s">
        <v>223</v>
      </c>
      <c r="E48" s="1">
        <v>2</v>
      </c>
      <c r="F48" s="1">
        <v>4</v>
      </c>
    </row>
    <row r="49" spans="1:6" x14ac:dyDescent="0.25">
      <c r="A49" s="17" t="s">
        <v>244</v>
      </c>
      <c r="B49" s="17"/>
      <c r="C49" s="17"/>
      <c r="D49" s="17"/>
      <c r="E49" s="18">
        <v>2</v>
      </c>
      <c r="F49" s="18">
        <v>4</v>
      </c>
    </row>
    <row r="50" spans="1:6" x14ac:dyDescent="0.25">
      <c r="A50" t="s">
        <v>145</v>
      </c>
      <c r="B50" t="s">
        <v>11</v>
      </c>
      <c r="C50" t="s">
        <v>141</v>
      </c>
      <c r="D50" t="s">
        <v>223</v>
      </c>
      <c r="E50" s="1">
        <v>16</v>
      </c>
      <c r="F50" s="1">
        <v>32</v>
      </c>
    </row>
    <row r="51" spans="1:6" x14ac:dyDescent="0.25">
      <c r="B51" t="s">
        <v>139</v>
      </c>
      <c r="C51" t="s">
        <v>141</v>
      </c>
      <c r="D51" t="s">
        <v>223</v>
      </c>
      <c r="E51" s="1">
        <v>3</v>
      </c>
      <c r="F51" s="1">
        <v>6</v>
      </c>
    </row>
    <row r="52" spans="1:6" x14ac:dyDescent="0.25">
      <c r="A52" s="17" t="s">
        <v>245</v>
      </c>
      <c r="B52" s="17"/>
      <c r="C52" s="17"/>
      <c r="D52" s="17"/>
      <c r="E52" s="18">
        <v>19</v>
      </c>
      <c r="F52" s="18">
        <v>38</v>
      </c>
    </row>
    <row r="53" spans="1:6" x14ac:dyDescent="0.25">
      <c r="A53" t="s">
        <v>140</v>
      </c>
      <c r="B53" t="s">
        <v>139</v>
      </c>
      <c r="C53" t="s">
        <v>141</v>
      </c>
      <c r="D53" t="s">
        <v>223</v>
      </c>
      <c r="E53" s="1">
        <v>4</v>
      </c>
      <c r="F53" s="1">
        <v>8</v>
      </c>
    </row>
    <row r="54" spans="1:6" x14ac:dyDescent="0.25">
      <c r="A54" s="17" t="s">
        <v>246</v>
      </c>
      <c r="B54" s="17"/>
      <c r="C54" s="17"/>
      <c r="D54" s="17"/>
      <c r="E54" s="18">
        <v>4</v>
      </c>
      <c r="F54" s="18">
        <v>8</v>
      </c>
    </row>
    <row r="55" spans="1:6" x14ac:dyDescent="0.25">
      <c r="A55" t="s">
        <v>154</v>
      </c>
      <c r="B55" t="s">
        <v>153</v>
      </c>
      <c r="C55" t="s">
        <v>141</v>
      </c>
      <c r="D55" t="s">
        <v>223</v>
      </c>
      <c r="E55" s="1">
        <v>4</v>
      </c>
      <c r="F55" s="1">
        <v>8</v>
      </c>
    </row>
    <row r="56" spans="1:6" x14ac:dyDescent="0.25">
      <c r="A56" s="17" t="s">
        <v>247</v>
      </c>
      <c r="B56" s="17"/>
      <c r="C56" s="17"/>
      <c r="D56" s="17"/>
      <c r="E56" s="18">
        <v>4</v>
      </c>
      <c r="F56" s="18">
        <v>8</v>
      </c>
    </row>
    <row r="57" spans="1:6" x14ac:dyDescent="0.25">
      <c r="A57" t="s">
        <v>32</v>
      </c>
      <c r="B57" t="s">
        <v>11</v>
      </c>
      <c r="C57" t="s">
        <v>33</v>
      </c>
      <c r="D57" t="s">
        <v>223</v>
      </c>
      <c r="E57" s="1">
        <v>36</v>
      </c>
      <c r="F57" s="1">
        <v>72</v>
      </c>
    </row>
    <row r="58" spans="1:6" x14ac:dyDescent="0.25">
      <c r="A58" s="17" t="s">
        <v>248</v>
      </c>
      <c r="B58" s="17"/>
      <c r="C58" s="17"/>
      <c r="D58" s="17"/>
      <c r="E58" s="18">
        <v>36</v>
      </c>
      <c r="F58" s="18">
        <v>72</v>
      </c>
    </row>
    <row r="59" spans="1:6" x14ac:dyDescent="0.25">
      <c r="A59" t="s">
        <v>151</v>
      </c>
      <c r="B59" t="s">
        <v>151</v>
      </c>
      <c r="C59" t="s">
        <v>151</v>
      </c>
      <c r="D59" t="s">
        <v>223</v>
      </c>
      <c r="E59" s="1">
        <v>7</v>
      </c>
      <c r="F59" s="1">
        <v>14</v>
      </c>
    </row>
    <row r="60" spans="1:6" x14ac:dyDescent="0.25">
      <c r="A60" s="17" t="s">
        <v>249</v>
      </c>
      <c r="B60" s="17"/>
      <c r="C60" s="17"/>
      <c r="D60" s="17"/>
      <c r="E60" s="18">
        <v>7</v>
      </c>
      <c r="F60" s="18">
        <v>14</v>
      </c>
    </row>
    <row r="61" spans="1:6" x14ac:dyDescent="0.25">
      <c r="A61" t="s">
        <v>127</v>
      </c>
      <c r="B61" t="s">
        <v>126</v>
      </c>
      <c r="C61" t="s">
        <v>128</v>
      </c>
      <c r="D61" t="s">
        <v>223</v>
      </c>
      <c r="E61" s="1">
        <v>2</v>
      </c>
      <c r="F61" s="1">
        <v>4</v>
      </c>
    </row>
    <row r="62" spans="1:6" x14ac:dyDescent="0.25">
      <c r="A62" s="17" t="s">
        <v>250</v>
      </c>
      <c r="B62" s="17"/>
      <c r="C62" s="17"/>
      <c r="D62" s="17"/>
      <c r="E62" s="18">
        <v>2</v>
      </c>
      <c r="F62" s="18">
        <v>4</v>
      </c>
    </row>
    <row r="63" spans="1:6" x14ac:dyDescent="0.25">
      <c r="A63" t="s">
        <v>134</v>
      </c>
      <c r="B63" t="s">
        <v>133</v>
      </c>
      <c r="C63" t="s">
        <v>135</v>
      </c>
      <c r="D63" t="s">
        <v>223</v>
      </c>
      <c r="E63" s="1">
        <v>4</v>
      </c>
      <c r="F63" s="1">
        <v>8</v>
      </c>
    </row>
    <row r="64" spans="1:6" x14ac:dyDescent="0.25">
      <c r="A64" s="17" t="s">
        <v>251</v>
      </c>
      <c r="B64" s="17"/>
      <c r="C64" s="17"/>
      <c r="D64" s="17"/>
      <c r="E64" s="18">
        <v>4</v>
      </c>
      <c r="F64" s="18">
        <v>8</v>
      </c>
    </row>
    <row r="65" spans="1:6" x14ac:dyDescent="0.25">
      <c r="A65" t="s">
        <v>191</v>
      </c>
      <c r="B65" t="s">
        <v>191</v>
      </c>
      <c r="C65" t="s">
        <v>191</v>
      </c>
      <c r="D65" t="s">
        <v>223</v>
      </c>
      <c r="E65" s="1">
        <v>1</v>
      </c>
      <c r="F65" s="1">
        <v>2</v>
      </c>
    </row>
    <row r="66" spans="1:6" x14ac:dyDescent="0.25">
      <c r="A66" s="17" t="s">
        <v>252</v>
      </c>
      <c r="B66" s="17"/>
      <c r="C66" s="17"/>
      <c r="D66" s="17"/>
      <c r="E66" s="18">
        <v>1</v>
      </c>
      <c r="F66" s="18">
        <v>2</v>
      </c>
    </row>
    <row r="67" spans="1:6" x14ac:dyDescent="0.25">
      <c r="A67" t="s">
        <v>57</v>
      </c>
      <c r="B67" t="s">
        <v>56</v>
      </c>
      <c r="C67" t="s">
        <v>58</v>
      </c>
      <c r="D67" t="s">
        <v>223</v>
      </c>
      <c r="E67" s="1">
        <v>24</v>
      </c>
      <c r="F67" s="1">
        <v>48</v>
      </c>
    </row>
    <row r="68" spans="1:6" x14ac:dyDescent="0.25">
      <c r="B68" t="s">
        <v>68</v>
      </c>
      <c r="C68" t="s">
        <v>58</v>
      </c>
      <c r="D68" t="s">
        <v>223</v>
      </c>
      <c r="E68" s="1">
        <v>34</v>
      </c>
      <c r="F68" s="1">
        <v>68</v>
      </c>
    </row>
    <row r="69" spans="1:6" x14ac:dyDescent="0.25">
      <c r="B69" t="s">
        <v>87</v>
      </c>
      <c r="C69" t="s">
        <v>58</v>
      </c>
      <c r="D69" t="s">
        <v>223</v>
      </c>
      <c r="E69" s="1">
        <v>1</v>
      </c>
      <c r="F69" s="1">
        <v>2</v>
      </c>
    </row>
    <row r="70" spans="1:6" x14ac:dyDescent="0.25">
      <c r="B70" t="s">
        <v>85</v>
      </c>
      <c r="C70" t="s">
        <v>58</v>
      </c>
      <c r="D70" t="s">
        <v>223</v>
      </c>
      <c r="E70" s="1">
        <v>1</v>
      </c>
      <c r="F70" s="1">
        <v>2</v>
      </c>
    </row>
    <row r="71" spans="1:6" x14ac:dyDescent="0.25">
      <c r="B71" t="s">
        <v>89</v>
      </c>
      <c r="C71" t="s">
        <v>58</v>
      </c>
      <c r="D71" t="s">
        <v>223</v>
      </c>
      <c r="E71" s="1">
        <v>1</v>
      </c>
      <c r="F71" s="1">
        <v>2</v>
      </c>
    </row>
    <row r="72" spans="1:6" x14ac:dyDescent="0.25">
      <c r="B72" t="s">
        <v>91</v>
      </c>
      <c r="C72" t="s">
        <v>58</v>
      </c>
      <c r="D72" t="s">
        <v>223</v>
      </c>
      <c r="E72" s="1">
        <v>8</v>
      </c>
      <c r="F72" s="1">
        <v>16</v>
      </c>
    </row>
    <row r="73" spans="1:6" x14ac:dyDescent="0.25">
      <c r="B73" t="s">
        <v>104</v>
      </c>
      <c r="C73" t="s">
        <v>58</v>
      </c>
      <c r="D73" t="s">
        <v>223</v>
      </c>
      <c r="E73" s="1">
        <v>3</v>
      </c>
      <c r="F73" s="1">
        <v>6</v>
      </c>
    </row>
    <row r="74" spans="1:6" x14ac:dyDescent="0.25">
      <c r="B74" t="s">
        <v>106</v>
      </c>
      <c r="C74" t="s">
        <v>58</v>
      </c>
      <c r="D74" t="s">
        <v>223</v>
      </c>
      <c r="E74" s="1">
        <v>8</v>
      </c>
      <c r="F74" s="1">
        <v>16</v>
      </c>
    </row>
    <row r="75" spans="1:6" x14ac:dyDescent="0.25">
      <c r="B75" t="s">
        <v>110</v>
      </c>
      <c r="C75" t="s">
        <v>58</v>
      </c>
      <c r="D75" t="s">
        <v>223</v>
      </c>
      <c r="E75" s="1">
        <v>1</v>
      </c>
      <c r="F75" s="1">
        <v>2</v>
      </c>
    </row>
    <row r="76" spans="1:6" x14ac:dyDescent="0.25">
      <c r="B76" t="s">
        <v>112</v>
      </c>
      <c r="C76" t="s">
        <v>58</v>
      </c>
      <c r="D76" t="s">
        <v>223</v>
      </c>
      <c r="E76" s="1">
        <v>10</v>
      </c>
      <c r="F76" s="1">
        <v>20</v>
      </c>
    </row>
    <row r="77" spans="1:6" x14ac:dyDescent="0.25">
      <c r="B77" t="s">
        <v>114</v>
      </c>
      <c r="C77" t="s">
        <v>58</v>
      </c>
      <c r="D77" t="s">
        <v>223</v>
      </c>
      <c r="E77" s="1">
        <v>1</v>
      </c>
      <c r="F77" s="1">
        <v>2</v>
      </c>
    </row>
    <row r="78" spans="1:6" x14ac:dyDescent="0.25">
      <c r="B78" t="s">
        <v>116</v>
      </c>
      <c r="C78" t="s">
        <v>58</v>
      </c>
      <c r="D78" t="s">
        <v>223</v>
      </c>
      <c r="E78" s="1">
        <v>1</v>
      </c>
      <c r="F78" s="1">
        <v>2</v>
      </c>
    </row>
    <row r="79" spans="1:6" x14ac:dyDescent="0.25">
      <c r="A79" s="17" t="s">
        <v>253</v>
      </c>
      <c r="B79" s="17"/>
      <c r="C79" s="17"/>
      <c r="D79" s="17"/>
      <c r="E79" s="18">
        <v>93</v>
      </c>
      <c r="F79" s="18">
        <v>186</v>
      </c>
    </row>
    <row r="80" spans="1:6" x14ac:dyDescent="0.25">
      <c r="A80" t="s">
        <v>193</v>
      </c>
      <c r="B80" t="s">
        <v>193</v>
      </c>
      <c r="C80" t="s">
        <v>193</v>
      </c>
      <c r="D80" t="s">
        <v>223</v>
      </c>
      <c r="E80" s="1">
        <v>2</v>
      </c>
      <c r="F80" s="1">
        <v>4</v>
      </c>
    </row>
    <row r="81" spans="1:6" x14ac:dyDescent="0.25">
      <c r="A81" s="17" t="s">
        <v>254</v>
      </c>
      <c r="B81" s="17"/>
      <c r="C81" s="17"/>
      <c r="D81" s="17"/>
      <c r="E81" s="18">
        <v>2</v>
      </c>
      <c r="F81" s="18">
        <v>4</v>
      </c>
    </row>
    <row r="82" spans="1:6" x14ac:dyDescent="0.25">
      <c r="A82" t="s">
        <v>158</v>
      </c>
      <c r="B82" t="s">
        <v>158</v>
      </c>
      <c r="C82" t="s">
        <v>158</v>
      </c>
      <c r="D82" t="s">
        <v>223</v>
      </c>
      <c r="E82" s="1">
        <v>3</v>
      </c>
      <c r="F82" s="1">
        <v>6</v>
      </c>
    </row>
    <row r="83" spans="1:6" x14ac:dyDescent="0.25">
      <c r="A83" s="17" t="s">
        <v>255</v>
      </c>
      <c r="B83" s="17"/>
      <c r="C83" s="17"/>
      <c r="D83" s="17"/>
      <c r="E83" s="18">
        <v>3</v>
      </c>
      <c r="F83" s="18">
        <v>6</v>
      </c>
    </row>
    <row r="84" spans="1:6" x14ac:dyDescent="0.25">
      <c r="A84" t="s">
        <v>38</v>
      </c>
      <c r="B84" t="s">
        <v>11</v>
      </c>
      <c r="C84" t="s">
        <v>39</v>
      </c>
      <c r="D84" t="s">
        <v>223</v>
      </c>
      <c r="E84" s="1">
        <v>2</v>
      </c>
      <c r="F84" s="1">
        <v>4</v>
      </c>
    </row>
    <row r="85" spans="1:6" x14ac:dyDescent="0.25">
      <c r="A85" s="17" t="s">
        <v>256</v>
      </c>
      <c r="B85" s="17"/>
      <c r="C85" s="17"/>
      <c r="D85" s="17"/>
      <c r="E85" s="18">
        <v>2</v>
      </c>
      <c r="F85" s="18">
        <v>4</v>
      </c>
    </row>
    <row r="86" spans="1:6" x14ac:dyDescent="0.25">
      <c r="A86" t="s">
        <v>165</v>
      </c>
      <c r="B86" t="s">
        <v>165</v>
      </c>
      <c r="C86" t="s">
        <v>166</v>
      </c>
      <c r="D86" t="s">
        <v>223</v>
      </c>
      <c r="E86" s="1">
        <v>3</v>
      </c>
      <c r="F86" s="1">
        <v>6</v>
      </c>
    </row>
    <row r="87" spans="1:6" x14ac:dyDescent="0.25">
      <c r="A87" s="17" t="s">
        <v>257</v>
      </c>
      <c r="B87" s="17"/>
      <c r="C87" s="17"/>
      <c r="D87" s="17"/>
      <c r="E87" s="18">
        <v>3</v>
      </c>
      <c r="F87" s="18">
        <v>6</v>
      </c>
    </row>
    <row r="88" spans="1:6" x14ac:dyDescent="0.25">
      <c r="A88" t="s">
        <v>41</v>
      </c>
      <c r="B88" t="s">
        <v>11</v>
      </c>
      <c r="C88" t="s">
        <v>42</v>
      </c>
      <c r="D88" t="s">
        <v>223</v>
      </c>
      <c r="E88" s="1">
        <v>5</v>
      </c>
      <c r="F88" s="1">
        <v>10</v>
      </c>
    </row>
    <row r="89" spans="1:6" x14ac:dyDescent="0.25">
      <c r="A89" s="17" t="s">
        <v>258</v>
      </c>
      <c r="B89" s="17"/>
      <c r="C89" s="17"/>
      <c r="D89" s="17"/>
      <c r="E89" s="18">
        <v>5</v>
      </c>
      <c r="F89" s="18">
        <v>10</v>
      </c>
    </row>
    <row r="90" spans="1:6" x14ac:dyDescent="0.25">
      <c r="A90" t="s">
        <v>198</v>
      </c>
      <c r="B90" t="s">
        <v>198</v>
      </c>
      <c r="C90" t="s">
        <v>198</v>
      </c>
      <c r="D90" t="s">
        <v>223</v>
      </c>
      <c r="E90" s="1">
        <v>1</v>
      </c>
      <c r="F90" s="1">
        <v>2</v>
      </c>
    </row>
    <row r="91" spans="1:6" x14ac:dyDescent="0.25">
      <c r="A91" s="17" t="s">
        <v>259</v>
      </c>
      <c r="B91" s="17"/>
      <c r="C91" s="17"/>
      <c r="D91" s="17"/>
      <c r="E91" s="18">
        <v>1</v>
      </c>
      <c r="F91" s="18">
        <v>2</v>
      </c>
    </row>
    <row r="92" spans="1:6" x14ac:dyDescent="0.25">
      <c r="A92" t="s">
        <v>47</v>
      </c>
      <c r="B92" t="s">
        <v>11</v>
      </c>
      <c r="C92" t="s">
        <v>48</v>
      </c>
      <c r="D92" t="s">
        <v>223</v>
      </c>
      <c r="E92" s="1">
        <v>2</v>
      </c>
      <c r="F92" s="1">
        <v>4</v>
      </c>
    </row>
    <row r="93" spans="1:6" x14ac:dyDescent="0.25">
      <c r="A93" s="17" t="s">
        <v>260</v>
      </c>
      <c r="B93" s="17"/>
      <c r="C93" s="17"/>
      <c r="D93" s="17"/>
      <c r="E93" s="18">
        <v>2</v>
      </c>
      <c r="F93" s="18">
        <v>4</v>
      </c>
    </row>
    <row r="94" spans="1:6" x14ac:dyDescent="0.25">
      <c r="A94" t="s">
        <v>199</v>
      </c>
      <c r="B94" t="s">
        <v>199</v>
      </c>
      <c r="C94" t="s">
        <v>199</v>
      </c>
      <c r="D94" t="s">
        <v>223</v>
      </c>
      <c r="E94" s="1">
        <v>24</v>
      </c>
      <c r="F94" s="1">
        <v>48</v>
      </c>
    </row>
    <row r="95" spans="1:6" x14ac:dyDescent="0.25">
      <c r="A95" s="17" t="s">
        <v>261</v>
      </c>
      <c r="B95" s="17"/>
      <c r="C95" s="17"/>
      <c r="D95" s="17"/>
      <c r="E95" s="18">
        <v>24</v>
      </c>
      <c r="F95" s="18">
        <v>48</v>
      </c>
    </row>
    <row r="96" spans="1:6" x14ac:dyDescent="0.25">
      <c r="A96" t="s">
        <v>211</v>
      </c>
      <c r="B96" t="s">
        <v>211</v>
      </c>
      <c r="C96" t="s">
        <v>212</v>
      </c>
      <c r="D96" t="s">
        <v>223</v>
      </c>
      <c r="E96" s="1">
        <v>4</v>
      </c>
      <c r="F96" s="1">
        <v>8</v>
      </c>
    </row>
    <row r="97" spans="1:6" x14ac:dyDescent="0.25">
      <c r="A97" s="17" t="s">
        <v>262</v>
      </c>
      <c r="B97" s="17"/>
      <c r="C97" s="17"/>
      <c r="D97" s="17"/>
      <c r="E97" s="18">
        <v>4</v>
      </c>
      <c r="F97" s="18">
        <v>8</v>
      </c>
    </row>
    <row r="98" spans="1:6" x14ac:dyDescent="0.25">
      <c r="A98" t="s">
        <v>168</v>
      </c>
      <c r="B98" t="s">
        <v>168</v>
      </c>
      <c r="C98" t="s">
        <v>169</v>
      </c>
      <c r="D98" t="s">
        <v>223</v>
      </c>
      <c r="E98" s="1">
        <v>4</v>
      </c>
      <c r="F98" s="1">
        <v>8</v>
      </c>
    </row>
    <row r="99" spans="1:6" x14ac:dyDescent="0.25">
      <c r="A99" s="17" t="s">
        <v>263</v>
      </c>
      <c r="B99" s="17"/>
      <c r="C99" s="17"/>
      <c r="D99" s="17"/>
      <c r="E99" s="18">
        <v>4</v>
      </c>
      <c r="F99" s="18">
        <v>8</v>
      </c>
    </row>
    <row r="100" spans="1:6" x14ac:dyDescent="0.25">
      <c r="A100" t="s">
        <v>171</v>
      </c>
      <c r="B100" t="s">
        <v>171</v>
      </c>
      <c r="C100" t="s">
        <v>171</v>
      </c>
      <c r="D100" t="s">
        <v>223</v>
      </c>
      <c r="E100" s="1">
        <v>5</v>
      </c>
      <c r="F100" s="1">
        <v>10</v>
      </c>
    </row>
    <row r="101" spans="1:6" x14ac:dyDescent="0.25">
      <c r="A101" s="17" t="s">
        <v>264</v>
      </c>
      <c r="B101" s="17"/>
      <c r="C101" s="17"/>
      <c r="D101" s="17"/>
      <c r="E101" s="18">
        <v>5</v>
      </c>
      <c r="F101" s="18">
        <v>10</v>
      </c>
    </row>
    <row r="102" spans="1:6" x14ac:dyDescent="0.25">
      <c r="A102" t="s">
        <v>173</v>
      </c>
      <c r="B102" t="s">
        <v>173</v>
      </c>
      <c r="C102" t="s">
        <v>174</v>
      </c>
      <c r="D102" t="s">
        <v>223</v>
      </c>
      <c r="E102" s="1">
        <v>1</v>
      </c>
      <c r="F102" s="1">
        <v>2</v>
      </c>
    </row>
    <row r="103" spans="1:6" x14ac:dyDescent="0.25">
      <c r="A103" s="17" t="s">
        <v>265</v>
      </c>
      <c r="B103" s="17"/>
      <c r="C103" s="17"/>
      <c r="D103" s="17"/>
      <c r="E103" s="18">
        <v>1</v>
      </c>
      <c r="F103" s="18">
        <v>2</v>
      </c>
    </row>
    <row r="104" spans="1:6" x14ac:dyDescent="0.25">
      <c r="A104" t="s">
        <v>220</v>
      </c>
      <c r="E104" s="1">
        <v>378</v>
      </c>
      <c r="F104" s="1">
        <v>756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5BB1F-BBAA-4FBE-A785-B8CA6BA63DA6}">
  <dimension ref="A1:I89"/>
  <sheetViews>
    <sheetView workbookViewId="0">
      <selection sqref="A1:F89"/>
    </sheetView>
  </sheetViews>
  <sheetFormatPr defaultRowHeight="15" x14ac:dyDescent="0.25"/>
  <sheetData>
    <row r="1" spans="1:9" ht="15.75" x14ac:dyDescent="0.25">
      <c r="A1" s="11" t="s">
        <v>214</v>
      </c>
      <c r="B1" s="11" t="s">
        <v>5</v>
      </c>
      <c r="C1" s="12" t="s">
        <v>3</v>
      </c>
      <c r="D1" s="13" t="s">
        <v>215</v>
      </c>
      <c r="E1" s="12" t="s">
        <v>0</v>
      </c>
      <c r="F1" s="11" t="s">
        <v>216</v>
      </c>
      <c r="G1" s="11" t="s">
        <v>217</v>
      </c>
      <c r="H1" s="11" t="s">
        <v>218</v>
      </c>
      <c r="I1" s="11" t="s">
        <v>219</v>
      </c>
    </row>
    <row r="2" spans="1:9" ht="15.75" x14ac:dyDescent="0.25">
      <c r="A2" s="6" t="s">
        <v>73</v>
      </c>
      <c r="B2" s="6" t="s">
        <v>72</v>
      </c>
      <c r="C2" s="6" t="s">
        <v>74</v>
      </c>
      <c r="D2" s="5"/>
      <c r="E2" s="5">
        <v>2</v>
      </c>
      <c r="F2" s="5">
        <f t="shared" ref="F2:F65" si="0">E2*2</f>
        <v>4</v>
      </c>
      <c r="G2" s="5"/>
      <c r="H2" s="5"/>
      <c r="I2" s="5"/>
    </row>
    <row r="3" spans="1:9" ht="15.75" x14ac:dyDescent="0.25">
      <c r="A3" s="6" t="s">
        <v>66</v>
      </c>
      <c r="B3" s="6" t="s">
        <v>66</v>
      </c>
      <c r="C3" s="6" t="s">
        <v>66</v>
      </c>
      <c r="D3" s="5"/>
      <c r="E3" s="5">
        <v>12</v>
      </c>
      <c r="F3" s="5">
        <f t="shared" si="0"/>
        <v>24</v>
      </c>
      <c r="G3" s="5"/>
      <c r="H3" s="5"/>
      <c r="I3" s="5"/>
    </row>
    <row r="4" spans="1:9" ht="15.75" x14ac:dyDescent="0.25">
      <c r="A4" s="6" t="s">
        <v>119</v>
      </c>
      <c r="B4" s="6" t="s">
        <v>118</v>
      </c>
      <c r="C4" s="6" t="s">
        <v>119</v>
      </c>
      <c r="D4" s="5"/>
      <c r="E4" s="5">
        <v>4</v>
      </c>
      <c r="F4" s="5">
        <f t="shared" si="0"/>
        <v>8</v>
      </c>
      <c r="G4" s="5"/>
      <c r="H4" s="5"/>
      <c r="I4" s="5"/>
    </row>
    <row r="5" spans="1:9" ht="15.75" x14ac:dyDescent="0.25">
      <c r="A5" s="6" t="s">
        <v>101</v>
      </c>
      <c r="B5" s="6" t="s">
        <v>101</v>
      </c>
      <c r="C5" s="6" t="s">
        <v>102</v>
      </c>
      <c r="D5" s="5"/>
      <c r="E5" s="5">
        <v>36</v>
      </c>
      <c r="F5" s="5">
        <f t="shared" si="0"/>
        <v>72</v>
      </c>
      <c r="G5" s="5"/>
      <c r="H5" s="5"/>
      <c r="I5" s="5"/>
    </row>
    <row r="6" spans="1:9" ht="15.75" x14ac:dyDescent="0.25">
      <c r="A6" s="6" t="s">
        <v>12</v>
      </c>
      <c r="B6" s="6" t="s">
        <v>11</v>
      </c>
      <c r="C6" s="6" t="s">
        <v>13</v>
      </c>
      <c r="D6" s="5"/>
      <c r="E6" s="5">
        <v>3</v>
      </c>
      <c r="F6" s="5">
        <f t="shared" si="0"/>
        <v>6</v>
      </c>
      <c r="G6" s="5"/>
      <c r="H6" s="5"/>
      <c r="I6" s="5"/>
    </row>
    <row r="7" spans="1:9" ht="15.75" x14ac:dyDescent="0.25">
      <c r="A7" s="6" t="s">
        <v>51</v>
      </c>
      <c r="B7" s="6" t="s">
        <v>50</v>
      </c>
      <c r="C7" s="6" t="s">
        <v>52</v>
      </c>
      <c r="D7" s="5"/>
      <c r="E7" s="5">
        <v>7</v>
      </c>
      <c r="F7" s="5">
        <f t="shared" si="0"/>
        <v>14</v>
      </c>
      <c r="G7" s="5"/>
      <c r="H7" s="5"/>
      <c r="I7" s="5"/>
    </row>
    <row r="8" spans="1:9" ht="15.75" x14ac:dyDescent="0.25">
      <c r="A8" s="6" t="s">
        <v>51</v>
      </c>
      <c r="B8" s="6" t="s">
        <v>54</v>
      </c>
      <c r="C8" s="6" t="s">
        <v>52</v>
      </c>
      <c r="D8" s="5"/>
      <c r="E8" s="5">
        <v>4</v>
      </c>
      <c r="F8" s="5">
        <f t="shared" si="0"/>
        <v>8</v>
      </c>
      <c r="G8" s="5"/>
      <c r="H8" s="5"/>
      <c r="I8" s="5"/>
    </row>
    <row r="9" spans="1:9" ht="15.75" x14ac:dyDescent="0.25">
      <c r="A9" s="6" t="s">
        <v>51</v>
      </c>
      <c r="B9" s="6" t="s">
        <v>60</v>
      </c>
      <c r="C9" s="6" t="s">
        <v>52</v>
      </c>
      <c r="D9" s="5"/>
      <c r="E9" s="5">
        <v>3</v>
      </c>
      <c r="F9" s="5">
        <f t="shared" si="0"/>
        <v>6</v>
      </c>
      <c r="G9" s="5"/>
      <c r="H9" s="5"/>
      <c r="I9" s="5"/>
    </row>
    <row r="10" spans="1:9" ht="15.75" x14ac:dyDescent="0.25">
      <c r="A10" s="6" t="s">
        <v>51</v>
      </c>
      <c r="B10" s="6" t="s">
        <v>70</v>
      </c>
      <c r="C10" s="6" t="s">
        <v>52</v>
      </c>
      <c r="D10" s="5"/>
      <c r="E10" s="5">
        <v>14</v>
      </c>
      <c r="F10" s="5">
        <f t="shared" si="0"/>
        <v>28</v>
      </c>
      <c r="G10" s="5"/>
      <c r="H10" s="5"/>
      <c r="I10" s="5"/>
    </row>
    <row r="11" spans="1:9" ht="15.75" x14ac:dyDescent="0.25">
      <c r="A11" s="6" t="s">
        <v>51</v>
      </c>
      <c r="B11" s="6" t="s">
        <v>79</v>
      </c>
      <c r="C11" s="6" t="s">
        <v>52</v>
      </c>
      <c r="D11" s="5"/>
      <c r="E11" s="5">
        <v>2</v>
      </c>
      <c r="F11" s="5">
        <f t="shared" si="0"/>
        <v>4</v>
      </c>
      <c r="G11" s="5"/>
      <c r="H11" s="5"/>
      <c r="I11" s="5"/>
    </row>
    <row r="12" spans="1:9" ht="15.75" x14ac:dyDescent="0.25">
      <c r="A12" s="6" t="s">
        <v>51</v>
      </c>
      <c r="B12" s="6" t="s">
        <v>99</v>
      </c>
      <c r="C12" s="6" t="s">
        <v>52</v>
      </c>
      <c r="D12" s="5"/>
      <c r="E12" s="5">
        <v>4</v>
      </c>
      <c r="F12" s="5">
        <f t="shared" si="0"/>
        <v>8</v>
      </c>
      <c r="G12" s="5"/>
      <c r="H12" s="5"/>
      <c r="I12" s="5"/>
    </row>
    <row r="13" spans="1:9" ht="15.75" x14ac:dyDescent="0.25">
      <c r="A13" s="6" t="s">
        <v>51</v>
      </c>
      <c r="B13" s="6" t="s">
        <v>108</v>
      </c>
      <c r="C13" s="6" t="s">
        <v>52</v>
      </c>
      <c r="D13" s="5"/>
      <c r="E13" s="5">
        <v>2</v>
      </c>
      <c r="F13" s="5">
        <f t="shared" si="0"/>
        <v>4</v>
      </c>
      <c r="G13" s="5"/>
      <c r="H13" s="5"/>
      <c r="I13" s="5"/>
    </row>
    <row r="14" spans="1:9" ht="15.75" x14ac:dyDescent="0.25">
      <c r="A14" s="6" t="s">
        <v>82</v>
      </c>
      <c r="B14" s="6" t="s">
        <v>81</v>
      </c>
      <c r="C14" s="6" t="s">
        <v>83</v>
      </c>
      <c r="D14" s="5"/>
      <c r="E14" s="5">
        <v>2</v>
      </c>
      <c r="F14" s="5">
        <f t="shared" si="0"/>
        <v>4</v>
      </c>
      <c r="G14" s="5"/>
      <c r="H14" s="5"/>
      <c r="I14" s="5"/>
    </row>
    <row r="15" spans="1:9" ht="15.75" x14ac:dyDescent="0.25">
      <c r="A15" s="6" t="s">
        <v>15</v>
      </c>
      <c r="B15" s="6" t="s">
        <v>11</v>
      </c>
      <c r="C15" s="6" t="s">
        <v>16</v>
      </c>
      <c r="D15" s="5"/>
      <c r="E15" s="5">
        <v>1</v>
      </c>
      <c r="F15" s="5">
        <f t="shared" si="0"/>
        <v>2</v>
      </c>
      <c r="G15" s="5"/>
      <c r="H15" s="5"/>
      <c r="I15" s="5"/>
    </row>
    <row r="16" spans="1:9" ht="15.75" x14ac:dyDescent="0.25">
      <c r="A16" s="7" t="s">
        <v>19</v>
      </c>
      <c r="B16" s="6" t="s">
        <v>11</v>
      </c>
      <c r="C16" s="6" t="s">
        <v>20</v>
      </c>
      <c r="D16" s="5"/>
      <c r="E16" s="5">
        <v>1</v>
      </c>
      <c r="F16" s="5">
        <f t="shared" si="0"/>
        <v>2</v>
      </c>
      <c r="G16" s="5"/>
      <c r="H16" s="5"/>
      <c r="I16" s="5"/>
    </row>
    <row r="17" spans="1:9" ht="15.75" x14ac:dyDescent="0.25">
      <c r="A17" s="6" t="s">
        <v>22</v>
      </c>
      <c r="B17" s="6" t="s">
        <v>11</v>
      </c>
      <c r="C17" s="6" t="s">
        <v>23</v>
      </c>
      <c r="D17" s="5"/>
      <c r="E17" s="5">
        <v>1</v>
      </c>
      <c r="F17" s="5">
        <f t="shared" si="0"/>
        <v>2</v>
      </c>
      <c r="G17" s="5"/>
      <c r="H17" s="5"/>
      <c r="I17" s="5"/>
    </row>
    <row r="18" spans="1:9" ht="15.75" x14ac:dyDescent="0.25">
      <c r="A18" s="6" t="s">
        <v>26</v>
      </c>
      <c r="B18" s="6" t="s">
        <v>11</v>
      </c>
      <c r="C18" s="6" t="s">
        <v>27</v>
      </c>
      <c r="D18" s="5"/>
      <c r="E18" s="5">
        <v>1</v>
      </c>
      <c r="F18" s="5">
        <f t="shared" si="0"/>
        <v>2</v>
      </c>
      <c r="G18" s="5"/>
      <c r="H18" s="5"/>
      <c r="I18" s="5"/>
    </row>
    <row r="19" spans="1:9" ht="15.75" x14ac:dyDescent="0.25">
      <c r="A19" s="6" t="s">
        <v>148</v>
      </c>
      <c r="B19" s="6" t="s">
        <v>148</v>
      </c>
      <c r="C19" s="6" t="s">
        <v>149</v>
      </c>
      <c r="D19" s="5"/>
      <c r="E19" s="5">
        <v>1</v>
      </c>
      <c r="F19" s="5">
        <f t="shared" si="0"/>
        <v>2</v>
      </c>
      <c r="G19" s="5"/>
      <c r="H19" s="5"/>
      <c r="I19" s="5"/>
    </row>
    <row r="20" spans="1:9" ht="15.75" x14ac:dyDescent="0.25">
      <c r="A20" s="6" t="s">
        <v>29</v>
      </c>
      <c r="B20" s="6" t="s">
        <v>11</v>
      </c>
      <c r="C20" s="6" t="s">
        <v>30</v>
      </c>
      <c r="D20" s="5"/>
      <c r="E20" s="5">
        <v>1</v>
      </c>
      <c r="F20" s="5">
        <f t="shared" si="0"/>
        <v>2</v>
      </c>
      <c r="G20" s="5"/>
      <c r="H20" s="5"/>
      <c r="I20" s="5"/>
    </row>
    <row r="21" spans="1:9" ht="15.75" x14ac:dyDescent="0.25">
      <c r="A21" s="6" t="s">
        <v>122</v>
      </c>
      <c r="B21" s="6" t="s">
        <v>121</v>
      </c>
      <c r="C21" s="6" t="s">
        <v>123</v>
      </c>
      <c r="D21" s="5"/>
      <c r="E21" s="5">
        <v>1</v>
      </c>
      <c r="F21" s="5">
        <f t="shared" si="0"/>
        <v>2</v>
      </c>
      <c r="G21" s="5"/>
      <c r="H21" s="5"/>
      <c r="I21" s="5"/>
    </row>
    <row r="22" spans="1:9" ht="15.75" x14ac:dyDescent="0.25">
      <c r="A22" s="6" t="s">
        <v>162</v>
      </c>
      <c r="B22" s="6" t="s">
        <v>161</v>
      </c>
      <c r="C22" s="6" t="s">
        <v>163</v>
      </c>
      <c r="D22" s="5"/>
      <c r="E22" s="5">
        <v>2</v>
      </c>
      <c r="F22" s="5">
        <f t="shared" si="0"/>
        <v>4</v>
      </c>
      <c r="G22" s="5"/>
      <c r="H22" s="5"/>
      <c r="I22" s="5"/>
    </row>
    <row r="23" spans="1:9" ht="15.75" x14ac:dyDescent="0.25">
      <c r="A23" s="6" t="s">
        <v>94</v>
      </c>
      <c r="B23" s="6" t="s">
        <v>93</v>
      </c>
      <c r="C23" s="6" t="s">
        <v>95</v>
      </c>
      <c r="D23" s="5"/>
      <c r="E23" s="5">
        <v>2</v>
      </c>
      <c r="F23" s="5">
        <f t="shared" si="0"/>
        <v>4</v>
      </c>
      <c r="G23" s="5"/>
      <c r="H23" s="5"/>
      <c r="I23" s="5"/>
    </row>
    <row r="24" spans="1:9" ht="15.75" x14ac:dyDescent="0.25">
      <c r="A24" s="6" t="s">
        <v>63</v>
      </c>
      <c r="B24" s="6" t="s">
        <v>62</v>
      </c>
      <c r="C24" s="6" t="s">
        <v>64</v>
      </c>
      <c r="D24" s="5"/>
      <c r="E24" s="5">
        <v>2</v>
      </c>
      <c r="F24" s="5">
        <f t="shared" si="0"/>
        <v>4</v>
      </c>
      <c r="G24" s="5"/>
      <c r="H24" s="5"/>
      <c r="I24" s="5"/>
    </row>
    <row r="25" spans="1:9" ht="15.75" x14ac:dyDescent="0.25">
      <c r="A25" s="6" t="s">
        <v>145</v>
      </c>
      <c r="B25" s="6" t="s">
        <v>139</v>
      </c>
      <c r="C25" s="6" t="s">
        <v>141</v>
      </c>
      <c r="D25" s="5"/>
      <c r="E25" s="5">
        <v>1</v>
      </c>
      <c r="F25" s="5">
        <f t="shared" si="0"/>
        <v>2</v>
      </c>
      <c r="G25" s="5"/>
      <c r="H25" s="5"/>
      <c r="I25" s="5"/>
    </row>
    <row r="26" spans="1:9" ht="15.75" x14ac:dyDescent="0.25">
      <c r="A26" s="6" t="s">
        <v>140</v>
      </c>
      <c r="B26" s="6" t="s">
        <v>139</v>
      </c>
      <c r="C26" s="6" t="s">
        <v>141</v>
      </c>
      <c r="D26" s="5"/>
      <c r="E26" s="5">
        <v>4</v>
      </c>
      <c r="F26" s="5">
        <f t="shared" si="0"/>
        <v>8</v>
      </c>
      <c r="G26" s="5"/>
      <c r="H26" s="5"/>
      <c r="I26" s="5"/>
    </row>
    <row r="27" spans="1:9" ht="15.75" x14ac:dyDescent="0.25">
      <c r="A27" s="6" t="s">
        <v>154</v>
      </c>
      <c r="B27" s="6" t="s">
        <v>153</v>
      </c>
      <c r="C27" s="6" t="s">
        <v>141</v>
      </c>
      <c r="D27" s="5"/>
      <c r="E27" s="5">
        <v>4</v>
      </c>
      <c r="F27" s="5">
        <f t="shared" si="0"/>
        <v>8</v>
      </c>
      <c r="G27" s="5"/>
      <c r="H27" s="5"/>
      <c r="I27" s="5"/>
    </row>
    <row r="28" spans="1:9" ht="15.75" x14ac:dyDescent="0.25">
      <c r="A28" s="6" t="s">
        <v>32</v>
      </c>
      <c r="B28" s="6" t="s">
        <v>11</v>
      </c>
      <c r="C28" s="6" t="s">
        <v>33</v>
      </c>
      <c r="D28" s="5"/>
      <c r="E28" s="5">
        <v>36</v>
      </c>
      <c r="F28" s="5">
        <f t="shared" si="0"/>
        <v>72</v>
      </c>
      <c r="G28" s="5"/>
      <c r="H28" s="5"/>
      <c r="I28" s="5"/>
    </row>
    <row r="29" spans="1:9" ht="15.75" x14ac:dyDescent="0.25">
      <c r="A29" s="6" t="s">
        <v>151</v>
      </c>
      <c r="B29" s="6" t="s">
        <v>151</v>
      </c>
      <c r="C29" s="6" t="s">
        <v>151</v>
      </c>
      <c r="D29" s="5"/>
      <c r="E29" s="5">
        <v>2</v>
      </c>
      <c r="F29" s="5">
        <f t="shared" si="0"/>
        <v>4</v>
      </c>
      <c r="G29" s="5"/>
      <c r="H29" s="5"/>
      <c r="I29" s="5"/>
    </row>
    <row r="30" spans="1:9" ht="15.75" x14ac:dyDescent="0.25">
      <c r="A30" s="6" t="s">
        <v>127</v>
      </c>
      <c r="B30" s="6" t="s">
        <v>126</v>
      </c>
      <c r="C30" s="6" t="s">
        <v>128</v>
      </c>
      <c r="D30" s="5"/>
      <c r="E30" s="5">
        <v>1</v>
      </c>
      <c r="F30" s="5">
        <f t="shared" si="0"/>
        <v>2</v>
      </c>
      <c r="G30" s="5"/>
      <c r="H30" s="5"/>
      <c r="I30" s="5"/>
    </row>
    <row r="31" spans="1:9" ht="15.75" x14ac:dyDescent="0.25">
      <c r="A31" s="6" t="s">
        <v>134</v>
      </c>
      <c r="B31" s="6" t="s">
        <v>133</v>
      </c>
      <c r="C31" s="6" t="s">
        <v>135</v>
      </c>
      <c r="D31" s="5"/>
      <c r="E31" s="5">
        <v>4</v>
      </c>
      <c r="F31" s="5">
        <f t="shared" si="0"/>
        <v>8</v>
      </c>
      <c r="G31" s="5"/>
      <c r="H31" s="5"/>
      <c r="I31" s="5"/>
    </row>
    <row r="32" spans="1:9" ht="15.75" x14ac:dyDescent="0.25">
      <c r="A32" s="6" t="s">
        <v>57</v>
      </c>
      <c r="B32" s="6" t="s">
        <v>56</v>
      </c>
      <c r="C32" s="6" t="s">
        <v>58</v>
      </c>
      <c r="D32" s="5"/>
      <c r="E32" s="5">
        <v>16</v>
      </c>
      <c r="F32" s="5">
        <f t="shared" si="0"/>
        <v>32</v>
      </c>
      <c r="G32" s="5"/>
      <c r="H32" s="5"/>
      <c r="I32" s="5"/>
    </row>
    <row r="33" spans="1:9" ht="15.75" x14ac:dyDescent="0.25">
      <c r="A33" s="6" t="s">
        <v>57</v>
      </c>
      <c r="B33" s="6" t="s">
        <v>68</v>
      </c>
      <c r="C33" s="6" t="s">
        <v>58</v>
      </c>
      <c r="D33" s="5"/>
      <c r="E33" s="5">
        <v>29</v>
      </c>
      <c r="F33" s="5">
        <f t="shared" si="0"/>
        <v>58</v>
      </c>
      <c r="G33" s="5"/>
      <c r="H33" s="5"/>
      <c r="I33" s="5"/>
    </row>
    <row r="34" spans="1:9" ht="15.75" x14ac:dyDescent="0.25">
      <c r="A34" s="6" t="s">
        <v>57</v>
      </c>
      <c r="B34" s="6" t="s">
        <v>85</v>
      </c>
      <c r="C34" s="6" t="s">
        <v>58</v>
      </c>
      <c r="D34" s="5"/>
      <c r="E34" s="5">
        <v>1</v>
      </c>
      <c r="F34" s="5">
        <f t="shared" si="0"/>
        <v>2</v>
      </c>
      <c r="G34" s="5"/>
      <c r="H34" s="5"/>
      <c r="I34" s="5"/>
    </row>
    <row r="35" spans="1:9" ht="15.75" x14ac:dyDescent="0.25">
      <c r="A35" s="6" t="s">
        <v>57</v>
      </c>
      <c r="B35" s="6" t="s">
        <v>87</v>
      </c>
      <c r="C35" s="6" t="s">
        <v>58</v>
      </c>
      <c r="D35" s="5"/>
      <c r="E35" s="5">
        <v>1</v>
      </c>
      <c r="F35" s="5">
        <f t="shared" si="0"/>
        <v>2</v>
      </c>
      <c r="G35" s="5"/>
      <c r="H35" s="5"/>
      <c r="I35" s="5"/>
    </row>
    <row r="36" spans="1:9" ht="15.75" x14ac:dyDescent="0.25">
      <c r="A36" s="6" t="s">
        <v>57</v>
      </c>
      <c r="B36" s="6" t="s">
        <v>89</v>
      </c>
      <c r="C36" s="6" t="s">
        <v>58</v>
      </c>
      <c r="D36" s="5"/>
      <c r="E36" s="5">
        <v>1</v>
      </c>
      <c r="F36" s="5">
        <f t="shared" si="0"/>
        <v>2</v>
      </c>
      <c r="G36" s="5"/>
      <c r="H36" s="5"/>
      <c r="I36" s="5"/>
    </row>
    <row r="37" spans="1:9" ht="15.75" x14ac:dyDescent="0.25">
      <c r="A37" s="6" t="s">
        <v>57</v>
      </c>
      <c r="B37" s="6" t="s">
        <v>91</v>
      </c>
      <c r="C37" s="6" t="s">
        <v>58</v>
      </c>
      <c r="D37" s="5"/>
      <c r="E37" s="5">
        <v>8</v>
      </c>
      <c r="F37" s="5">
        <f t="shared" si="0"/>
        <v>16</v>
      </c>
      <c r="G37" s="5"/>
      <c r="H37" s="5"/>
      <c r="I37" s="5"/>
    </row>
    <row r="38" spans="1:9" ht="15.75" x14ac:dyDescent="0.25">
      <c r="A38" s="6" t="s">
        <v>57</v>
      </c>
      <c r="B38" s="6" t="s">
        <v>104</v>
      </c>
      <c r="C38" s="6" t="s">
        <v>58</v>
      </c>
      <c r="D38" s="5"/>
      <c r="E38" s="5">
        <v>3</v>
      </c>
      <c r="F38" s="5">
        <f t="shared" si="0"/>
        <v>6</v>
      </c>
      <c r="G38" s="5"/>
      <c r="H38" s="5"/>
      <c r="I38" s="5"/>
    </row>
    <row r="39" spans="1:9" ht="15.75" x14ac:dyDescent="0.25">
      <c r="A39" s="6" t="s">
        <v>57</v>
      </c>
      <c r="B39" s="6" t="s">
        <v>106</v>
      </c>
      <c r="C39" s="6" t="s">
        <v>58</v>
      </c>
      <c r="D39" s="5"/>
      <c r="E39" s="5">
        <v>6</v>
      </c>
      <c r="F39" s="5">
        <f t="shared" si="0"/>
        <v>12</v>
      </c>
      <c r="G39" s="5"/>
      <c r="H39" s="5"/>
      <c r="I39" s="5"/>
    </row>
    <row r="40" spans="1:9" ht="15.75" x14ac:dyDescent="0.25">
      <c r="A40" s="6" t="s">
        <v>57</v>
      </c>
      <c r="B40" s="6" t="s">
        <v>110</v>
      </c>
      <c r="C40" s="6" t="s">
        <v>58</v>
      </c>
      <c r="D40" s="5"/>
      <c r="E40" s="5">
        <v>1</v>
      </c>
      <c r="F40" s="5">
        <f t="shared" si="0"/>
        <v>2</v>
      </c>
      <c r="G40" s="5"/>
      <c r="H40" s="5"/>
      <c r="I40" s="5"/>
    </row>
    <row r="41" spans="1:9" ht="15.75" x14ac:dyDescent="0.25">
      <c r="A41" s="6" t="s">
        <v>57</v>
      </c>
      <c r="B41" s="6" t="s">
        <v>112</v>
      </c>
      <c r="C41" s="6" t="s">
        <v>58</v>
      </c>
      <c r="D41" s="5"/>
      <c r="E41" s="5">
        <v>1</v>
      </c>
      <c r="F41" s="5">
        <f t="shared" si="0"/>
        <v>2</v>
      </c>
      <c r="G41" s="5"/>
      <c r="H41" s="5"/>
      <c r="I41" s="5"/>
    </row>
    <row r="42" spans="1:9" ht="15.75" x14ac:dyDescent="0.25">
      <c r="A42" s="6" t="s">
        <v>57</v>
      </c>
      <c r="B42" s="6" t="s">
        <v>114</v>
      </c>
      <c r="C42" s="6" t="s">
        <v>58</v>
      </c>
      <c r="D42" s="5"/>
      <c r="E42" s="5">
        <v>1</v>
      </c>
      <c r="F42" s="5">
        <f t="shared" si="0"/>
        <v>2</v>
      </c>
      <c r="G42" s="5"/>
      <c r="H42" s="5"/>
      <c r="I42" s="5"/>
    </row>
    <row r="43" spans="1:9" ht="15.75" x14ac:dyDescent="0.25">
      <c r="A43" s="6" t="s">
        <v>57</v>
      </c>
      <c r="B43" s="6" t="s">
        <v>116</v>
      </c>
      <c r="C43" s="6" t="s">
        <v>58</v>
      </c>
      <c r="D43" s="5"/>
      <c r="E43" s="5">
        <v>1</v>
      </c>
      <c r="F43" s="5">
        <f t="shared" si="0"/>
        <v>2</v>
      </c>
      <c r="G43" s="5"/>
      <c r="H43" s="5"/>
      <c r="I43" s="5"/>
    </row>
    <row r="44" spans="1:9" ht="15.75" x14ac:dyDescent="0.25">
      <c r="A44" s="6" t="s">
        <v>158</v>
      </c>
      <c r="B44" s="6" t="s">
        <v>158</v>
      </c>
      <c r="C44" s="6" t="s">
        <v>158</v>
      </c>
      <c r="D44" s="5"/>
      <c r="E44" s="5">
        <v>1</v>
      </c>
      <c r="F44" s="5">
        <f t="shared" si="0"/>
        <v>2</v>
      </c>
      <c r="G44" s="5"/>
      <c r="H44" s="5"/>
      <c r="I44" s="5"/>
    </row>
    <row r="45" spans="1:9" ht="15.75" x14ac:dyDescent="0.25">
      <c r="A45" s="6" t="s">
        <v>38</v>
      </c>
      <c r="B45" s="6" t="s">
        <v>11</v>
      </c>
      <c r="C45" s="6" t="s">
        <v>39</v>
      </c>
      <c r="D45" s="5"/>
      <c r="E45" s="5">
        <v>2</v>
      </c>
      <c r="F45" s="5">
        <f t="shared" si="0"/>
        <v>4</v>
      </c>
      <c r="G45" s="5"/>
      <c r="H45" s="5"/>
      <c r="I45" s="5"/>
    </row>
    <row r="46" spans="1:9" ht="15.75" x14ac:dyDescent="0.25">
      <c r="A46" s="6" t="s">
        <v>165</v>
      </c>
      <c r="B46" s="6" t="s">
        <v>165</v>
      </c>
      <c r="C46" s="6" t="s">
        <v>166</v>
      </c>
      <c r="D46" s="5"/>
      <c r="E46" s="5">
        <v>1</v>
      </c>
      <c r="F46" s="5">
        <f t="shared" si="0"/>
        <v>2</v>
      </c>
      <c r="G46" s="5"/>
      <c r="H46" s="5"/>
      <c r="I46" s="5"/>
    </row>
    <row r="47" spans="1:9" ht="15.75" x14ac:dyDescent="0.25">
      <c r="A47" s="6" t="s">
        <v>41</v>
      </c>
      <c r="B47" s="6" t="s">
        <v>11</v>
      </c>
      <c r="C47" s="6" t="s">
        <v>42</v>
      </c>
      <c r="D47" s="5"/>
      <c r="E47" s="5">
        <v>2</v>
      </c>
      <c r="F47" s="5">
        <f t="shared" si="0"/>
        <v>4</v>
      </c>
      <c r="G47" s="5"/>
      <c r="H47" s="5"/>
      <c r="I47" s="5"/>
    </row>
    <row r="48" spans="1:9" ht="15.75" x14ac:dyDescent="0.25">
      <c r="A48" s="6" t="s">
        <v>47</v>
      </c>
      <c r="B48" s="6" t="s">
        <v>11</v>
      </c>
      <c r="C48" s="6" t="s">
        <v>48</v>
      </c>
      <c r="D48" s="5"/>
      <c r="E48" s="5">
        <v>2</v>
      </c>
      <c r="F48" s="5">
        <f t="shared" si="0"/>
        <v>4</v>
      </c>
      <c r="G48" s="5"/>
      <c r="H48" s="5"/>
      <c r="I48" s="5"/>
    </row>
    <row r="49" spans="1:9" ht="15.75" x14ac:dyDescent="0.25">
      <c r="A49" s="6" t="s">
        <v>168</v>
      </c>
      <c r="B49" s="6" t="s">
        <v>168</v>
      </c>
      <c r="C49" s="6" t="s">
        <v>169</v>
      </c>
      <c r="D49" s="5"/>
      <c r="E49" s="5">
        <v>4</v>
      </c>
      <c r="F49" s="5">
        <f t="shared" si="0"/>
        <v>8</v>
      </c>
      <c r="G49" s="5"/>
      <c r="H49" s="5"/>
      <c r="I49" s="5"/>
    </row>
    <row r="50" spans="1:9" ht="15.75" x14ac:dyDescent="0.25">
      <c r="A50" s="6" t="s">
        <v>171</v>
      </c>
      <c r="B50" s="6" t="s">
        <v>171</v>
      </c>
      <c r="C50" s="6" t="s">
        <v>171</v>
      </c>
      <c r="D50" s="5"/>
      <c r="E50" s="5">
        <v>5</v>
      </c>
      <c r="F50" s="5">
        <f t="shared" si="0"/>
        <v>10</v>
      </c>
      <c r="G50" s="5"/>
      <c r="H50" s="5"/>
      <c r="I50" s="5"/>
    </row>
    <row r="51" spans="1:9" ht="15.75" x14ac:dyDescent="0.25">
      <c r="A51" s="7" t="s">
        <v>173</v>
      </c>
      <c r="B51" s="7" t="s">
        <v>173</v>
      </c>
      <c r="C51" s="6" t="s">
        <v>174</v>
      </c>
      <c r="D51" s="5"/>
      <c r="E51" s="5">
        <v>1</v>
      </c>
      <c r="F51" s="5">
        <f t="shared" si="0"/>
        <v>2</v>
      </c>
      <c r="G51" s="5"/>
      <c r="H51" s="5"/>
      <c r="I51" s="5"/>
    </row>
    <row r="52" spans="1:9" ht="15.75" x14ac:dyDescent="0.25">
      <c r="A52" s="8" t="s">
        <v>51</v>
      </c>
      <c r="B52" s="8" t="s">
        <v>11</v>
      </c>
      <c r="C52" s="8" t="s">
        <v>52</v>
      </c>
      <c r="D52" s="5"/>
      <c r="E52" s="9">
        <v>24</v>
      </c>
      <c r="F52" s="5">
        <f t="shared" si="0"/>
        <v>48</v>
      </c>
      <c r="G52" s="5"/>
      <c r="H52" s="5"/>
      <c r="I52" s="5"/>
    </row>
    <row r="53" spans="1:9" ht="15.75" x14ac:dyDescent="0.25">
      <c r="A53" s="8" t="s">
        <v>51</v>
      </c>
      <c r="B53" s="8" t="s">
        <v>70</v>
      </c>
      <c r="C53" s="8" t="s">
        <v>52</v>
      </c>
      <c r="D53" s="5"/>
      <c r="E53" s="9">
        <v>4</v>
      </c>
      <c r="F53" s="5">
        <f t="shared" si="0"/>
        <v>8</v>
      </c>
      <c r="G53" s="5"/>
      <c r="H53" s="5"/>
      <c r="I53" s="5"/>
    </row>
    <row r="54" spans="1:9" ht="15.75" x14ac:dyDescent="0.25">
      <c r="A54" s="8" t="s">
        <v>51</v>
      </c>
      <c r="B54" s="8" t="s">
        <v>79</v>
      </c>
      <c r="C54" s="8" t="s">
        <v>52</v>
      </c>
      <c r="D54" s="5"/>
      <c r="E54" s="9">
        <v>2</v>
      </c>
      <c r="F54" s="5">
        <f t="shared" si="0"/>
        <v>4</v>
      </c>
      <c r="G54" s="5"/>
      <c r="H54" s="5"/>
      <c r="I54" s="5"/>
    </row>
    <row r="55" spans="1:9" ht="15.75" x14ac:dyDescent="0.25">
      <c r="A55" s="8" t="s">
        <v>19</v>
      </c>
      <c r="B55" s="8" t="s">
        <v>11</v>
      </c>
      <c r="C55" s="8" t="s">
        <v>20</v>
      </c>
      <c r="D55" s="5"/>
      <c r="E55" s="9">
        <v>1</v>
      </c>
      <c r="F55" s="5">
        <f t="shared" si="0"/>
        <v>2</v>
      </c>
      <c r="G55" s="5"/>
      <c r="H55" s="5"/>
      <c r="I55" s="5"/>
    </row>
    <row r="56" spans="1:9" ht="15.75" x14ac:dyDescent="0.25">
      <c r="A56" s="8" t="s">
        <v>26</v>
      </c>
      <c r="B56" s="8" t="s">
        <v>11</v>
      </c>
      <c r="C56" s="8" t="s">
        <v>27</v>
      </c>
      <c r="D56" s="5"/>
      <c r="E56" s="9">
        <v>1</v>
      </c>
      <c r="F56" s="5">
        <f t="shared" si="0"/>
        <v>2</v>
      </c>
      <c r="G56" s="5"/>
      <c r="H56" s="5"/>
      <c r="I56" s="5"/>
    </row>
    <row r="57" spans="1:9" ht="15.75" x14ac:dyDescent="0.25">
      <c r="A57" s="8" t="s">
        <v>148</v>
      </c>
      <c r="B57" s="8" t="s">
        <v>148</v>
      </c>
      <c r="C57" s="8" t="s">
        <v>149</v>
      </c>
      <c r="D57" s="5"/>
      <c r="E57" s="9">
        <v>1</v>
      </c>
      <c r="F57" s="5">
        <f t="shared" si="0"/>
        <v>2</v>
      </c>
      <c r="G57" s="5"/>
      <c r="H57" s="5"/>
      <c r="I57" s="5"/>
    </row>
    <row r="58" spans="1:9" ht="15.75" x14ac:dyDescent="0.25">
      <c r="A58" s="8" t="s">
        <v>122</v>
      </c>
      <c r="B58" s="8" t="s">
        <v>121</v>
      </c>
      <c r="C58" s="8" t="s">
        <v>123</v>
      </c>
      <c r="D58" s="5"/>
      <c r="E58" s="9">
        <v>1</v>
      </c>
      <c r="F58" s="5">
        <f t="shared" si="0"/>
        <v>2</v>
      </c>
      <c r="G58" s="5"/>
      <c r="H58" s="5"/>
      <c r="I58" s="5"/>
    </row>
    <row r="59" spans="1:9" ht="15.75" x14ac:dyDescent="0.25">
      <c r="A59" s="8" t="s">
        <v>185</v>
      </c>
      <c r="B59" s="8" t="s">
        <v>185</v>
      </c>
      <c r="C59" s="8" t="s">
        <v>186</v>
      </c>
      <c r="D59" s="5"/>
      <c r="E59" s="9">
        <v>1</v>
      </c>
      <c r="F59" s="5">
        <f t="shared" si="0"/>
        <v>2</v>
      </c>
      <c r="G59" s="5"/>
      <c r="H59" s="5"/>
      <c r="I59" s="5"/>
    </row>
    <row r="60" spans="1:9" ht="15.75" x14ac:dyDescent="0.25">
      <c r="A60" s="8" t="s">
        <v>189</v>
      </c>
      <c r="B60" s="8" t="s">
        <v>189</v>
      </c>
      <c r="C60" s="8" t="s">
        <v>189</v>
      </c>
      <c r="D60" s="5"/>
      <c r="E60" s="9">
        <v>1</v>
      </c>
      <c r="F60" s="5">
        <f t="shared" si="0"/>
        <v>2</v>
      </c>
      <c r="G60" s="5"/>
      <c r="H60" s="5"/>
      <c r="I60" s="5"/>
    </row>
    <row r="61" spans="1:9" ht="15.75" x14ac:dyDescent="0.25">
      <c r="A61" s="8" t="s">
        <v>145</v>
      </c>
      <c r="B61" s="8" t="s">
        <v>139</v>
      </c>
      <c r="C61" s="8" t="s">
        <v>141</v>
      </c>
      <c r="D61" s="5"/>
      <c r="E61" s="9">
        <v>1</v>
      </c>
      <c r="F61" s="5">
        <f t="shared" si="0"/>
        <v>2</v>
      </c>
      <c r="G61" s="5"/>
      <c r="H61" s="5"/>
      <c r="I61" s="5"/>
    </row>
    <row r="62" spans="1:9" ht="15.75" x14ac:dyDescent="0.25">
      <c r="A62" s="8" t="s">
        <v>151</v>
      </c>
      <c r="B62" s="8" t="s">
        <v>151</v>
      </c>
      <c r="C62" s="8" t="s">
        <v>151</v>
      </c>
      <c r="D62" s="5"/>
      <c r="E62" s="9">
        <v>2</v>
      </c>
      <c r="F62" s="5">
        <f t="shared" si="0"/>
        <v>4</v>
      </c>
      <c r="G62" s="5"/>
      <c r="H62" s="5"/>
      <c r="I62" s="5"/>
    </row>
    <row r="63" spans="1:9" ht="15.75" x14ac:dyDescent="0.25">
      <c r="A63" s="8" t="s">
        <v>127</v>
      </c>
      <c r="B63" s="8" t="s">
        <v>126</v>
      </c>
      <c r="C63" s="8" t="s">
        <v>128</v>
      </c>
      <c r="D63" s="5"/>
      <c r="E63" s="9">
        <v>1</v>
      </c>
      <c r="F63" s="5">
        <f t="shared" si="0"/>
        <v>2</v>
      </c>
      <c r="G63" s="5"/>
      <c r="H63" s="5"/>
      <c r="I63" s="5"/>
    </row>
    <row r="64" spans="1:9" ht="15.75" x14ac:dyDescent="0.25">
      <c r="A64" s="8" t="s">
        <v>191</v>
      </c>
      <c r="B64" s="8" t="s">
        <v>191</v>
      </c>
      <c r="C64" s="8" t="s">
        <v>191</v>
      </c>
      <c r="D64" s="5"/>
      <c r="E64" s="9">
        <v>1</v>
      </c>
      <c r="F64" s="5">
        <f t="shared" si="0"/>
        <v>2</v>
      </c>
      <c r="G64" s="5"/>
      <c r="H64" s="5"/>
      <c r="I64" s="5"/>
    </row>
    <row r="65" spans="1:9" ht="15.75" x14ac:dyDescent="0.25">
      <c r="A65" s="8" t="s">
        <v>57</v>
      </c>
      <c r="B65" s="8" t="s">
        <v>56</v>
      </c>
      <c r="C65" s="8" t="s">
        <v>58</v>
      </c>
      <c r="D65" s="5"/>
      <c r="E65" s="9">
        <v>6</v>
      </c>
      <c r="F65" s="5">
        <f t="shared" si="0"/>
        <v>12</v>
      </c>
      <c r="G65" s="5"/>
      <c r="H65" s="5"/>
      <c r="I65" s="5"/>
    </row>
    <row r="66" spans="1:9" ht="15.75" x14ac:dyDescent="0.25">
      <c r="A66" s="8" t="s">
        <v>57</v>
      </c>
      <c r="B66" s="8" t="s">
        <v>68</v>
      </c>
      <c r="C66" s="8" t="s">
        <v>58</v>
      </c>
      <c r="D66" s="5"/>
      <c r="E66" s="9">
        <v>2</v>
      </c>
      <c r="F66" s="5">
        <f t="shared" ref="F66:F89" si="1">E66*2</f>
        <v>4</v>
      </c>
      <c r="G66" s="5"/>
      <c r="H66" s="5"/>
      <c r="I66" s="5"/>
    </row>
    <row r="67" spans="1:9" ht="15.75" x14ac:dyDescent="0.25">
      <c r="A67" s="8" t="s">
        <v>57</v>
      </c>
      <c r="B67" s="8" t="s">
        <v>106</v>
      </c>
      <c r="C67" s="8" t="s">
        <v>58</v>
      </c>
      <c r="D67" s="5"/>
      <c r="E67" s="9">
        <v>2</v>
      </c>
      <c r="F67" s="5">
        <f t="shared" si="1"/>
        <v>4</v>
      </c>
      <c r="G67" s="5"/>
      <c r="H67" s="5"/>
      <c r="I67" s="5"/>
    </row>
    <row r="68" spans="1:9" ht="15.75" x14ac:dyDescent="0.25">
      <c r="A68" s="8" t="s">
        <v>57</v>
      </c>
      <c r="B68" s="8" t="s">
        <v>112</v>
      </c>
      <c r="C68" s="8" t="s">
        <v>58</v>
      </c>
      <c r="D68" s="5"/>
      <c r="E68" s="9">
        <v>1</v>
      </c>
      <c r="F68" s="5">
        <f t="shared" si="1"/>
        <v>2</v>
      </c>
      <c r="G68" s="5"/>
      <c r="H68" s="5"/>
      <c r="I68" s="5"/>
    </row>
    <row r="69" spans="1:9" ht="15.75" x14ac:dyDescent="0.25">
      <c r="A69" s="8" t="s">
        <v>193</v>
      </c>
      <c r="B69" s="8" t="s">
        <v>193</v>
      </c>
      <c r="C69" s="8" t="s">
        <v>193</v>
      </c>
      <c r="D69" s="5"/>
      <c r="E69" s="9">
        <v>1</v>
      </c>
      <c r="F69" s="5">
        <f t="shared" si="1"/>
        <v>2</v>
      </c>
      <c r="G69" s="5"/>
      <c r="H69" s="5"/>
      <c r="I69" s="5"/>
    </row>
    <row r="70" spans="1:9" ht="15.75" x14ac:dyDescent="0.25">
      <c r="A70" s="8" t="s">
        <v>158</v>
      </c>
      <c r="B70" s="8" t="s">
        <v>158</v>
      </c>
      <c r="C70" s="8" t="s">
        <v>158</v>
      </c>
      <c r="D70" s="5"/>
      <c r="E70" s="9">
        <v>1</v>
      </c>
      <c r="F70" s="5">
        <f t="shared" si="1"/>
        <v>2</v>
      </c>
      <c r="G70" s="5"/>
      <c r="H70" s="5"/>
      <c r="I70" s="5"/>
    </row>
    <row r="71" spans="1:9" ht="15.75" x14ac:dyDescent="0.25">
      <c r="A71" s="8" t="s">
        <v>165</v>
      </c>
      <c r="B71" s="8" t="s">
        <v>165</v>
      </c>
      <c r="C71" s="8" t="s">
        <v>166</v>
      </c>
      <c r="D71" s="5"/>
      <c r="E71" s="9">
        <v>1</v>
      </c>
      <c r="F71" s="5">
        <f t="shared" si="1"/>
        <v>2</v>
      </c>
      <c r="G71" s="5"/>
      <c r="H71" s="5"/>
      <c r="I71" s="5"/>
    </row>
    <row r="72" spans="1:9" ht="15.75" x14ac:dyDescent="0.25">
      <c r="A72" s="8" t="s">
        <v>41</v>
      </c>
      <c r="B72" s="8" t="s">
        <v>11</v>
      </c>
      <c r="C72" s="8" t="s">
        <v>42</v>
      </c>
      <c r="D72" s="5"/>
      <c r="E72" s="9">
        <v>2</v>
      </c>
      <c r="F72" s="5">
        <f t="shared" si="1"/>
        <v>4</v>
      </c>
      <c r="G72" s="5"/>
      <c r="H72" s="5"/>
      <c r="I72" s="5"/>
    </row>
    <row r="73" spans="1:9" ht="15.75" x14ac:dyDescent="0.25">
      <c r="A73" s="8" t="s">
        <v>198</v>
      </c>
      <c r="B73" s="8" t="s">
        <v>198</v>
      </c>
      <c r="C73" s="8" t="s">
        <v>198</v>
      </c>
      <c r="D73" s="5"/>
      <c r="E73" s="9">
        <v>1</v>
      </c>
      <c r="F73" s="5">
        <f t="shared" si="1"/>
        <v>2</v>
      </c>
      <c r="G73" s="5"/>
      <c r="H73" s="5"/>
      <c r="I73" s="5"/>
    </row>
    <row r="74" spans="1:9" ht="15.75" x14ac:dyDescent="0.25">
      <c r="A74" s="8" t="s">
        <v>199</v>
      </c>
      <c r="B74" s="8" t="s">
        <v>199</v>
      </c>
      <c r="C74" s="8" t="s">
        <v>199</v>
      </c>
      <c r="D74" s="5"/>
      <c r="E74" s="9">
        <v>24</v>
      </c>
      <c r="F74" s="5">
        <f t="shared" si="1"/>
        <v>48</v>
      </c>
      <c r="G74" s="5"/>
      <c r="H74" s="5"/>
      <c r="I74" s="5"/>
    </row>
    <row r="75" spans="1:9" ht="15.75" x14ac:dyDescent="0.25">
      <c r="A75" s="8" t="s">
        <v>206</v>
      </c>
      <c r="B75" s="8" t="s">
        <v>206</v>
      </c>
      <c r="C75" s="8" t="s">
        <v>206</v>
      </c>
      <c r="D75" s="5"/>
      <c r="E75" s="9">
        <v>1</v>
      </c>
      <c r="F75" s="5">
        <f t="shared" si="1"/>
        <v>2</v>
      </c>
      <c r="G75" s="5"/>
      <c r="H75" s="5"/>
      <c r="I75" s="5"/>
    </row>
    <row r="76" spans="1:9" ht="15.75" x14ac:dyDescent="0.25">
      <c r="A76" s="8" t="s">
        <v>51</v>
      </c>
      <c r="B76" s="8" t="s">
        <v>70</v>
      </c>
      <c r="C76" s="8" t="s">
        <v>52</v>
      </c>
      <c r="D76" s="5"/>
      <c r="E76" s="9">
        <v>4</v>
      </c>
      <c r="F76" s="5">
        <f t="shared" si="1"/>
        <v>8</v>
      </c>
      <c r="G76" s="5"/>
      <c r="H76" s="5"/>
      <c r="I76" s="5"/>
    </row>
    <row r="77" spans="1:9" ht="15.75" x14ac:dyDescent="0.25">
      <c r="A77" s="8" t="s">
        <v>51</v>
      </c>
      <c r="B77" s="8" t="s">
        <v>79</v>
      </c>
      <c r="C77" s="8" t="s">
        <v>52</v>
      </c>
      <c r="D77" s="5"/>
      <c r="E77" s="9">
        <v>2</v>
      </c>
      <c r="F77" s="5">
        <f t="shared" si="1"/>
        <v>4</v>
      </c>
      <c r="G77" s="5"/>
      <c r="H77" s="5"/>
      <c r="I77" s="5"/>
    </row>
    <row r="78" spans="1:9" ht="15.75" x14ac:dyDescent="0.25">
      <c r="A78" s="8" t="s">
        <v>122</v>
      </c>
      <c r="B78" s="8" t="s">
        <v>121</v>
      </c>
      <c r="C78" s="8" t="s">
        <v>123</v>
      </c>
      <c r="D78" s="5"/>
      <c r="E78" s="9">
        <v>1</v>
      </c>
      <c r="F78" s="5">
        <f t="shared" si="1"/>
        <v>2</v>
      </c>
      <c r="G78" s="5"/>
      <c r="H78" s="5"/>
      <c r="I78" s="5"/>
    </row>
    <row r="79" spans="1:9" ht="15.75" x14ac:dyDescent="0.25">
      <c r="A79" s="8" t="s">
        <v>145</v>
      </c>
      <c r="B79" s="8" t="s">
        <v>11</v>
      </c>
      <c r="C79" s="8" t="s">
        <v>141</v>
      </c>
      <c r="D79" s="5"/>
      <c r="E79" s="9">
        <v>16</v>
      </c>
      <c r="F79" s="5">
        <f t="shared" si="1"/>
        <v>32</v>
      </c>
      <c r="G79" s="5"/>
      <c r="H79" s="5"/>
      <c r="I79" s="5"/>
    </row>
    <row r="80" spans="1:9" ht="15.75" x14ac:dyDescent="0.25">
      <c r="A80" s="8" t="s">
        <v>145</v>
      </c>
      <c r="B80" s="8" t="s">
        <v>139</v>
      </c>
      <c r="C80" s="8" t="s">
        <v>141</v>
      </c>
      <c r="D80" s="5"/>
      <c r="E80" s="9">
        <v>1</v>
      </c>
      <c r="F80" s="5">
        <f t="shared" si="1"/>
        <v>2</v>
      </c>
      <c r="G80" s="5"/>
      <c r="H80" s="5"/>
      <c r="I80" s="5"/>
    </row>
    <row r="81" spans="1:9" ht="15.75" x14ac:dyDescent="0.25">
      <c r="A81" s="8" t="s">
        <v>151</v>
      </c>
      <c r="B81" s="8" t="s">
        <v>151</v>
      </c>
      <c r="C81" s="8" t="s">
        <v>151</v>
      </c>
      <c r="D81" s="5"/>
      <c r="E81" s="9">
        <v>3</v>
      </c>
      <c r="F81" s="5">
        <f t="shared" si="1"/>
        <v>6</v>
      </c>
      <c r="G81" s="5"/>
      <c r="H81" s="5"/>
      <c r="I81" s="5"/>
    </row>
    <row r="82" spans="1:9" ht="15.75" x14ac:dyDescent="0.25">
      <c r="A82" s="8" t="s">
        <v>57</v>
      </c>
      <c r="B82" s="8" t="s">
        <v>56</v>
      </c>
      <c r="C82" s="8" t="s">
        <v>58</v>
      </c>
      <c r="D82" s="5"/>
      <c r="E82" s="9">
        <v>2</v>
      </c>
      <c r="F82" s="5">
        <f t="shared" si="1"/>
        <v>4</v>
      </c>
      <c r="G82" s="5"/>
      <c r="H82" s="5"/>
      <c r="I82" s="5"/>
    </row>
    <row r="83" spans="1:9" ht="15.75" x14ac:dyDescent="0.25">
      <c r="A83" s="8" t="s">
        <v>57</v>
      </c>
      <c r="B83" s="8" t="s">
        <v>68</v>
      </c>
      <c r="C83" s="8" t="s">
        <v>58</v>
      </c>
      <c r="D83" s="5"/>
      <c r="E83" s="9">
        <v>3</v>
      </c>
      <c r="F83" s="5">
        <f t="shared" si="1"/>
        <v>6</v>
      </c>
      <c r="G83" s="5"/>
      <c r="H83" s="5"/>
      <c r="I83" s="5"/>
    </row>
    <row r="84" spans="1:9" ht="15.75" x14ac:dyDescent="0.25">
      <c r="A84" s="8" t="s">
        <v>57</v>
      </c>
      <c r="B84" s="8" t="s">
        <v>112</v>
      </c>
      <c r="C84" s="8" t="s">
        <v>58</v>
      </c>
      <c r="D84" s="5"/>
      <c r="E84" s="9">
        <v>8</v>
      </c>
      <c r="F84" s="5">
        <f t="shared" si="1"/>
        <v>16</v>
      </c>
      <c r="G84" s="5"/>
      <c r="H84" s="5"/>
      <c r="I84" s="5"/>
    </row>
    <row r="85" spans="1:9" ht="15.75" x14ac:dyDescent="0.25">
      <c r="A85" s="8" t="s">
        <v>193</v>
      </c>
      <c r="B85" s="8" t="s">
        <v>193</v>
      </c>
      <c r="C85" s="8" t="s">
        <v>193</v>
      </c>
      <c r="D85" s="5"/>
      <c r="E85" s="9">
        <v>1</v>
      </c>
      <c r="F85" s="5">
        <f t="shared" si="1"/>
        <v>2</v>
      </c>
      <c r="G85" s="5"/>
      <c r="H85" s="5"/>
      <c r="I85" s="5"/>
    </row>
    <row r="86" spans="1:9" ht="15.75" x14ac:dyDescent="0.25">
      <c r="A86" s="8" t="s">
        <v>158</v>
      </c>
      <c r="B86" s="8" t="s">
        <v>158</v>
      </c>
      <c r="C86" s="8" t="s">
        <v>158</v>
      </c>
      <c r="D86" s="5"/>
      <c r="E86" s="9">
        <v>1</v>
      </c>
      <c r="F86" s="5">
        <f t="shared" si="1"/>
        <v>2</v>
      </c>
      <c r="G86" s="5"/>
      <c r="H86" s="5"/>
      <c r="I86" s="5"/>
    </row>
    <row r="87" spans="1:9" ht="15.75" x14ac:dyDescent="0.25">
      <c r="A87" s="8" t="s">
        <v>165</v>
      </c>
      <c r="B87" s="8" t="s">
        <v>165</v>
      </c>
      <c r="C87" s="8" t="s">
        <v>166</v>
      </c>
      <c r="D87" s="5"/>
      <c r="E87" s="9">
        <v>1</v>
      </c>
      <c r="F87" s="5">
        <f t="shared" si="1"/>
        <v>2</v>
      </c>
      <c r="G87" s="5"/>
      <c r="H87" s="5"/>
      <c r="I87" s="5"/>
    </row>
    <row r="88" spans="1:9" ht="15.75" x14ac:dyDescent="0.25">
      <c r="A88" s="8" t="s">
        <v>41</v>
      </c>
      <c r="B88" s="8" t="s">
        <v>11</v>
      </c>
      <c r="C88" s="8" t="s">
        <v>42</v>
      </c>
      <c r="D88" s="5"/>
      <c r="E88" s="9">
        <v>1</v>
      </c>
      <c r="F88" s="5">
        <f t="shared" si="1"/>
        <v>2</v>
      </c>
      <c r="G88" s="5"/>
      <c r="H88" s="5"/>
      <c r="I88" s="5"/>
    </row>
    <row r="89" spans="1:9" ht="15.75" x14ac:dyDescent="0.25">
      <c r="A89" s="8" t="s">
        <v>211</v>
      </c>
      <c r="B89" s="8" t="s">
        <v>211</v>
      </c>
      <c r="C89" s="8" t="s">
        <v>212</v>
      </c>
      <c r="D89" s="5"/>
      <c r="E89" s="9">
        <v>4</v>
      </c>
      <c r="F89" s="5">
        <f t="shared" si="1"/>
        <v>8</v>
      </c>
      <c r="G89" s="5"/>
      <c r="H89" s="5"/>
      <c r="I89" s="5"/>
    </row>
  </sheetData>
  <conditionalFormatting sqref="A1:A51">
    <cfRule type="duplicateValues" dxfId="3" priority="2"/>
  </conditionalFormatting>
  <conditionalFormatting sqref="B1:B51">
    <cfRule type="duplicateValues" dxfId="2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DDFC41-6328-4211-BC61-5351ADE7D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Layer 1</vt:lpstr>
      <vt:lpstr>Layer 3</vt:lpstr>
      <vt:lpstr>Layer 4</vt:lpstr>
      <vt:lpstr>Layer 1-F</vt:lpstr>
      <vt:lpstr>Layer 3-F</vt:lpstr>
      <vt:lpstr>Layer 4-F</vt:lpstr>
      <vt:lpstr>Everything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Cayadi</dc:creator>
  <cp:lastModifiedBy>Vincent Cayadi</cp:lastModifiedBy>
  <dcterms:created xsi:type="dcterms:W3CDTF">2021-03-01T13:39:28Z</dcterms:created>
  <dcterms:modified xsi:type="dcterms:W3CDTF">2021-03-01T15:20:38Z</dcterms:modified>
</cp:coreProperties>
</file>